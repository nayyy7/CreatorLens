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b3d7b0fca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演示数据" sheetId="1" r:id="R88ef4914cc54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%"/>
    <x:numFmt numFmtId="202" formatCode="#,##0"/>
    <x:numFmt numFmtId="203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C5A00"/>
      <x:name val="Carlito"/>
    </x:font>
    <x:font>
      <x:b/>
      <x:sz val="11"/>
      <x:color rgb="FF5B6472"/>
      <x:name val="Carlito"/>
    </x:font>
    <x:font>
      <x:b/>
      <x:sz val="9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FFF4CC"/>
      </x:patternFill>
    </x:fill>
    <x:fill>
      <x:patternFill patternType="solid">
        <x:fgColor rgb="FFE7EAF0"/>
      </x:patternFill>
    </x:fill>
    <x:fill>
      <x:patternFill patternType="solid">
        <x:fgColor rgb="FF24446F"/>
      </x:patternFill>
    </x:fill>
    <x:fill>
      <x:patternFill patternType="solid">
        <x:fgColor rgb="FF16A39A"/>
      </x:patternFill>
    </x:fill>
    <x:fill>
      <x:patternFill patternType="solid">
        <x:fgColor rgb="FFFFF9E8"/>
      </x:patternFill>
    </x:fill>
    <x:fill>
      <x:patternFill patternType="solid">
        <x:fgColor rgb="FFEEF2F7"/>
      </x:patternFill>
    </x:fill>
    <x:fill>
      <x:patternFill patternType="solid">
        <x:fgColor rgb="FFE7F7EF"/>
      </x:patternFill>
    </x:fill>
  </x:fills>
  <x:borders count="10">
    <x:border/>
    <x:border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bottom style="thin">
        <x:color rgb="FFD8E0EA"/>
      </x:bottom>
    </x:border>
    <x:border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</x:border>
    <x:border>
      <x:left style="thin">
        <x:color rgb="FFD8E0EA"/>
      </x:left>
      <x:right style="thin">
        <x:color rgb="FFD8E0EA"/>
      </x:right>
      <x:top style="thin">
        <x:color rgb="FFD8E0EA"/>
      </x:top>
    </x:border>
    <x:border>
      <x:left style="thin">
        <x:color rgb="FFD8E0EA"/>
      </x:left>
      <x:top style="thin">
        <x:color rgb="FFD8E0EA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8" borderId="5" xfId="0" applyNumberFormat="1" applyFont="1" applyFill="1" applyBorder="1"/>
    <x:xf numFmtId="0" fontId="0" fillId="9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8" borderId="8" xfId="0" applyNumberFormat="1" applyFont="1" applyFill="1" applyBorder="1"/>
    <x:xf numFmtId="0" fontId="0" fillId="9" borderId="9" xfId="0" applyNumberFormat="1" applyFont="1" applyFill="1" applyBorder="1"/>
    <x:xf numFmtId="200" fontId="0" fillId="7" borderId="5" xfId="0" applyNumberFormat="1" applyFont="1" applyFill="1" applyBorder="1"/>
    <x:xf numFmtId="200" fontId="0" fillId="7" borderId="8" xfId="0" applyNumberFormat="1" applyFont="1" applyFill="1" applyBorder="1"/>
    <x:xf numFmtId="200" fontId="0" fillId="8" borderId="5" xfId="0" applyNumberFormat="1" applyFont="1" applyFill="1" applyBorder="1"/>
    <x:xf numFmtId="200" fontId="0" fillId="8" borderId="8" xfId="0" applyNumberFormat="1" applyFont="1" applyFill="1" applyBorder="1"/>
    <x:xf numFmtId="201" fontId="0" fillId="8" borderId="5" xfId="0" applyNumberFormat="1" applyFont="1" applyFill="1" applyBorder="1"/>
    <x:xf numFmtId="201" fontId="0" fillId="8" borderId="8" xfId="0" applyNumberFormat="1" applyFont="1" applyFill="1" applyBorder="1"/>
    <x:xf numFmtId="202" fontId="0" fillId="7" borderId="5" xfId="0" applyNumberFormat="1" applyFont="1" applyFill="1" applyBorder="1"/>
    <x:xf numFmtId="202" fontId="0" fillId="7" borderId="8" xfId="0" applyNumberFormat="1" applyFont="1" applyFill="1" applyBorder="1"/>
    <x:xf numFmtId="203" fontId="0" fillId="7" borderId="5" xfId="0" applyNumberFormat="1" applyFont="1" applyFill="1" applyBorder="1"/>
    <x:xf numFmtId="203" fontId="0" fillId="7" borderId="8" xfId="0" applyNumberFormat="1" applyFont="1" applyFill="1" applyBorder="1"/>
    <x:xf numFmtId="0" fontId="0" fillId="7" borderId="4" xfId="0" applyNumberFormat="1" applyFont="1" applyFill="1" applyBorder="1" applyAlignment="1">
      <x:alignment wrapText="1"/>
    </x:xf>
    <x:xf numFmtId="203" fontId="0" fillId="7" borderId="5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202" fontId="0" fillId="7" borderId="5" xfId="0" applyNumberFormat="1" applyFont="1" applyFill="1" applyBorder="1" applyAlignment="1">
      <x:alignment wrapText="1"/>
    </x:xf>
    <x:xf numFmtId="200" fontId="0" fillId="7" borderId="5" xfId="0" applyNumberFormat="1" applyFont="1" applyFill="1" applyBorder="1" applyAlignment="1">
      <x:alignment wrapText="1"/>
    </x:xf>
    <x:xf numFmtId="200" fontId="0" fillId="8" borderId="5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201" fontId="0" fillId="8" borderId="5" xfId="0" applyNumberFormat="1" applyFont="1" applyFill="1" applyBorder="1" applyAlignment="1">
      <x:alignment wrapText="1"/>
    </x:xf>
    <x:xf numFmtId="0" fontId="0" fillId="9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203" fontId="0" fillId="7" borderId="8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202" fontId="0" fillId="7" borderId="8" xfId="0" applyNumberFormat="1" applyFont="1" applyFill="1" applyBorder="1" applyAlignment="1">
      <x:alignment wrapText="1"/>
    </x:xf>
    <x:xf numFmtId="200" fontId="0" fillId="7" borderId="8" xfId="0" applyNumberFormat="1" applyFont="1" applyFill="1" applyBorder="1" applyAlignment="1">
      <x:alignment wrapText="1"/>
    </x:xf>
    <x:xf numFmtId="200" fontId="0" fillId="8" borderId="8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201" fontId="0" fillId="8" borderId="8" xfId="0" applyNumberFormat="1" applyFont="1" applyFill="1" applyBorder="1" applyAlignment="1">
      <x:alignment wrapText="1"/>
    </x:xf>
    <x:xf numFmtId="0" fontId="0" fillId="9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289727199c4490" /><Relationship Type="http://schemas.openxmlformats.org/officeDocument/2006/relationships/theme" Target="/xl/theme/theme1.xml" Id="R7948d61c31224d9d" /><Relationship Type="http://schemas.openxmlformats.org/officeDocument/2006/relationships/sharedStrings" Target="/xl/sharedStrings.xml" Id="R97e1250cca824b35" /><Relationship Type="http://schemas.openxmlformats.org/officeDocument/2006/relationships/worksheet" Target="/xl/worksheets/sheet1.xml" Id="R88ef4914cc544b31" /></Relationships>
</file>

<file path=xl/tables/table1.xml><?xml version="1.0" encoding="utf-8"?>
<x:table xmlns:x="http://schemas.openxmlformats.org/spreadsheetml/2006/main" id="1" name="Data_CreatorLens_Error_Too_Many_Rows_31_xlsx" displayName="Data_CreatorLens_Error_Too_Many_Rows_31_xlsx" ref="A4:AF35" headerRowCount="1" totalsRowCount="0" totalsRowShown="0">
  <x:tableColumns count="32">
    <x:tableColumn id="1" name="video_id"/>
    <x:tableColumn id="2" name="publish_date"/>
    <x:tableColumn id="3" name="product_name"/>
    <x:tableColumn id="4" name="category"/>
    <x:tableColumn id="5" name="price_band"/>
    <x:tableColumn id="6" name="target_audience"/>
    <x:tableColumn id="7" name="title"/>
    <x:tableColumn id="8" name="script_or_subtitle"/>
    <x:tableColumn id="9" name="hook_text"/>
    <x:tableColumn id="10" name="duration_seconds"/>
    <x:tableColumn id="11" name="person_on_camera"/>
    <x:tableColumn id="12" name="scene_demo"/>
    <x:tableColumn id="13" name="product_closeup"/>
    <x:tableColumn id="14" name="before_after"/>
    <x:tableColumn id="15" name="views"/>
    <x:tableColumn id="16" name="likes"/>
    <x:tableColumn id="17" name="comments"/>
    <x:tableColumn id="18" name="favorites"/>
    <x:tableColumn id="19" name="shares"/>
    <x:tableColumn id="20" name="completion_rate"/>
    <x:tableColumn id="21" name="avg_watch_time_seconds"/>
    <x:tableColumn id="22" name="five_sec_retention"/>
    <x:tableColumn id="23" name="product_clicks"/>
    <x:tableColumn id="24" name="orders"/>
    <x:tableColumn id="25" name="notes"/>
    <x:tableColumn id="26" name="source_url"/>
    <x:tableColumn id="27" name="engagement_rate"/>
    <x:tableColumn id="28" name="product_click_rate"/>
    <x:tableColumn id="29" name="conversion_rate"/>
    <x:tableColumn id="30" name="duration_band"/>
    <x:tableColumn id="31" name="data_quality_score"/>
    <x:tableColumn id="32" name="record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4142d4c4c04f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8" hidden="0" customWidth="1"/>
    <x:col min="8" max="8" width="48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28" hidden="0" customWidth="1"/>
    <x:col min="26" max="26" width="2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</x:cols>
  <x:sheetData>
    <x:row r="1">
      <x:c r="A1" s="3" t="str">
        <x:v>CreatorLens · 错误测试：31 条记录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</x:row>
    <x:row r="3">
      <x:c r="A3" s="6" t="str">
        <x:v>去重后有 31 条有效记录；预期解析成功但阻止开始分析，提示最多 30 条。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9" t="str">
        <x:v>系统字段：上传后应由服务端重新计算</x:v>
      </x:c>
      <x:c r="AB3" s="9"/>
      <x:c r="AC3" s="9"/>
      <x:c r="AD3" s="9"/>
      <x:c r="AE3" s="9"/>
      <x:c r="AF3" s="9"/>
    </x:row>
    <x:row r="4" ht="48" customHeight="1">
      <x:c r="A4" s="19" t="str">
        <x:v>video_id</x:v>
      </x:c>
      <x:c r="B4" s="20" t="str">
        <x:v>publish_date</x:v>
      </x:c>
      <x:c r="C4" s="20" t="str">
        <x:v>product_name</x:v>
      </x:c>
      <x:c r="D4" s="20" t="str">
        <x:v>category</x:v>
      </x:c>
      <x:c r="E4" s="20" t="str">
        <x:v>price_band</x:v>
      </x:c>
      <x:c r="F4" s="20" t="str">
        <x:v>target_audience</x:v>
      </x:c>
      <x:c r="G4" s="20" t="str">
        <x:v>title</x:v>
      </x:c>
      <x:c r="H4" s="20" t="str">
        <x:v>script_or_subtitle</x:v>
      </x:c>
      <x:c r="I4" s="20" t="str">
        <x:v>hook_text</x:v>
      </x:c>
      <x:c r="J4" s="20" t="str">
        <x:v>duration_seconds</x:v>
      </x:c>
      <x:c r="K4" s="20" t="str">
        <x:v>person_on_camera</x:v>
      </x:c>
      <x:c r="L4" s="20" t="str">
        <x:v>scene_demo</x:v>
      </x:c>
      <x:c r="M4" s="20" t="str">
        <x:v>product_closeup</x:v>
      </x:c>
      <x:c r="N4" s="20" t="str">
        <x:v>before_after</x:v>
      </x:c>
      <x:c r="O4" s="20" t="str">
        <x:v>views</x:v>
      </x:c>
      <x:c r="P4" s="20" t="str">
        <x:v>likes</x:v>
      </x:c>
      <x:c r="Q4" s="20" t="str">
        <x:v>comments</x:v>
      </x:c>
      <x:c r="R4" s="20" t="str">
        <x:v>favorites</x:v>
      </x:c>
      <x:c r="S4" s="20" t="str">
        <x:v>shares</x:v>
      </x:c>
      <x:c r="T4" s="20" t="str">
        <x:v>completion_rate</x:v>
      </x:c>
      <x:c r="U4" s="20" t="str">
        <x:v>avg_watch_time_seconds</x:v>
      </x:c>
      <x:c r="V4" s="20" t="str">
        <x:v>five_sec_retention</x:v>
      </x:c>
      <x:c r="W4" s="20" t="str">
        <x:v>product_clicks</x:v>
      </x:c>
      <x:c r="X4" s="20" t="str">
        <x:v>orders</x:v>
      </x:c>
      <x:c r="Y4" s="20" t="str">
        <x:v>notes</x:v>
      </x:c>
      <x:c r="Z4" s="20" t="str">
        <x:v>source_url</x:v>
      </x:c>
      <x:c r="AA4" s="21" t="str">
        <x:v>engagement_rate</x:v>
      </x:c>
      <x:c r="AB4" s="21" t="str">
        <x:v>product_click_rate</x:v>
      </x:c>
      <x:c r="AC4" s="21" t="str">
        <x:v>conversion_rate</x:v>
      </x:c>
      <x:c r="AD4" s="21" t="str">
        <x:v>duration_band</x:v>
      </x:c>
      <x:c r="AE4" s="21" t="str">
        <x:v>data_quality_score</x:v>
      </x:c>
      <x:c r="AF4" s="22" t="str">
        <x:v>record_status</x:v>
      </x:c>
    </x:row>
    <x:row r="5" ht="42" customHeight="1">
      <x:c r="A5" s="41" t="str">
        <x:v>TM001</x:v>
      </x:c>
      <x:c r="B5" s="42" t="str">
        <x:v>2026-07-06</x:v>
      </x:c>
      <x:c r="C5" s="43" t="str">
        <x:v>轻盈防晒乳</x:v>
      </x:c>
      <x:c r="D5" s="43" t="str">
        <x:v>美妆个护</x:v>
      </x:c>
      <x:c r="E5" s="43" t="str">
        <x:v>50-100元</x:v>
      </x:c>
      <x:c r="F5" s="43" t="str">
        <x:v>通勤女性</x:v>
      </x:c>
      <x:c r="G5" s="43" t="str">
        <x:v>轻盈防晒乳真实使用：值不值得买</x:v>
      </x:c>
      <x:c r="H5" s="43" t="str">
        <x:v>买轻盈防晒乳前，先看这个最容易忽略的细节。先展示消费痛点，再实拍商品核心功能，最后给出适用人群和购买提醒。</x:v>
      </x:c>
      <x:c r="I5" s="43" t="str">
        <x:v>买轻盈防晒乳前，先看这个最容易忽略的细节</x:v>
      </x:c>
      <x:c r="J5" s="43" t="n">
        <x:v>16</x:v>
      </x:c>
      <x:c r="K5" s="43" t="str">
        <x:v>是</x:v>
      </x:c>
      <x:c r="L5" s="43" t="str">
        <x:v>是</x:v>
      </x:c>
      <x:c r="M5" s="43" t="str">
        <x:v>是</x:v>
      </x:c>
      <x:c r="N5" s="43" t="str">
        <x:v>是</x:v>
      </x:c>
      <x:c r="O5" s="44" t="n">
        <x:v>6800</x:v>
      </x:c>
      <x:c r="P5" s="44" t="n">
        <x:v>218</x:v>
      </x:c>
      <x:c r="Q5" s="44" t="n">
        <x:v>14</x:v>
      </x:c>
      <x:c r="R5" s="44" t="n">
        <x:v>122</x:v>
      </x:c>
      <x:c r="S5" s="44" t="n">
        <x:v>27</x:v>
      </x:c>
      <x:c r="T5" s="45" t="n">
        <x:v>0.28</x:v>
      </x:c>
      <x:c r="U5" s="43" t="n">
        <x:v>7.2</x:v>
      </x:c>
      <x:c r="V5" s="45" t="n">
        <x:v>0.55</x:v>
      </x:c>
      <x:c r="W5" s="44" t="n">
        <x:v>122</x:v>
      </x:c>
      <x:c r="X5" s="44" t="n">
        <x:v>4</x:v>
      </x:c>
      <x:c r="Y5" s="43" t="str">
        <x:v>内容角度：痛点演示；人工合成，仅用于功能验证</x:v>
      </x:c>
      <x:c r="Z5" s="43" t="str"/>
      <x:c r="AA5" s="46" t="n">
        <x:f>IFERROR((P5+Q5+R5+S5)/O5,0)</x:f>
        <x:v>0.05602941176470588</x:v>
      </x:c>
      <x:c r="AB5" s="46" t="n">
        <x:f>IF(OR(W5="",O5=0),"",W5/O5)</x:f>
        <x:v>0.017941176470588235</x:v>
      </x:c>
      <x:c r="AC5" s="46" t="n">
        <x:f>IF(OR(X5="",W5=0),"",X5/W5)</x:f>
        <x:v>0.03278688524590164</x:v>
      </x:c>
      <x:c r="AD5" s="47" t="str">
        <x:f>IF(J5="","",IF(J5&lt;=10,"≤10秒",IF(J5&lt;=20,"11—20秒",IF(J5&lt;=30,"21—30秒","&gt;30秒"))))</x:f>
        <x:v>11—20秒</x:v>
      </x:c>
      <x:c r="AE5" s="48" t="n">
        <x:f>(IF(A5&lt;&gt;"",1,0)+IF(D5&lt;&gt;"",1,0)+IF(O5&gt;0,1,0)+IF(OR(G5&lt;&gt;"",H5&lt;&gt;"",I5&lt;&gt;""),1,0)+IF(OR(T5&lt;&gt;"",U5&lt;&gt;"",V5&lt;&gt;""),1,0))/5</x:f>
        <x:v>1</x:v>
      </x:c>
      <x:c r="AF5" s="49" t="str">
        <x:f>IF(AE5=1,"可分析","需检查")</x:f>
        <x:v>可分析</x:v>
      </x:c>
    </x:row>
    <x:row r="6" ht="42" customHeight="1">
      <x:c r="A6" s="41" t="str">
        <x:v>TM002</x:v>
      </x:c>
      <x:c r="B6" s="42" t="str">
        <x:v>2026-07-07</x:v>
      </x:c>
      <x:c r="C6" s="43" t="str">
        <x:v>氨基酸洁面慕斯</x:v>
      </x:c>
      <x:c r="D6" s="43" t="str">
        <x:v>美妆个护</x:v>
      </x:c>
      <x:c r="E6" s="43" t="str">
        <x:v>50-100元</x:v>
      </x:c>
      <x:c r="F6" s="43" t="str">
        <x:v>敏感肌人群</x:v>
      </x:c>
      <x:c r="G6" s="43" t="str">
        <x:v>氨基酸洁面慕斯三个细节实拍</x:v>
      </x:c>
      <x:c r="H6" s="43" t="str">
        <x:v>同价位对比后，我为什么留下这款氨基酸洁面慕斯。从日常使用场景切入，演示三步操作，并展示使用前后差异。</x:v>
      </x:c>
      <x:c r="I6" s="43" t="str">
        <x:v>同价位对比后，我为什么留下这款氨基酸洁面慕斯</x:v>
      </x:c>
      <x:c r="J6" s="43" t="n">
        <x:v>23</x:v>
      </x:c>
      <x:c r="K6" s="43" t="str">
        <x:v>是</x:v>
      </x:c>
      <x:c r="L6" s="43" t="str">
        <x:v>是</x:v>
      </x:c>
      <x:c r="M6" s="43" t="str">
        <x:v>是</x:v>
      </x:c>
      <x:c r="N6" s="43" t="str">
        <x:v>否</x:v>
      </x:c>
      <x:c r="O6" s="44" t="n">
        <x:v>10179</x:v>
      </x:c>
      <x:c r="P6" s="44" t="n">
        <x:v>387</x:v>
      </x:c>
      <x:c r="Q6" s="44" t="n">
        <x:v>29</x:v>
      </x:c>
      <x:c r="R6" s="44" t="n">
        <x:v>224</x:v>
      </x:c>
      <x:c r="S6" s="44" t="n">
        <x:v>56</x:v>
      </x:c>
      <x:c r="T6" s="45" t="n">
        <x:v>0.315</x:v>
      </x:c>
      <x:c r="U6" s="43" t="n">
        <x:v>7.9</x:v>
      </x:c>
      <x:c r="V6" s="45" t="n">
        <x:v>0.595</x:v>
      </x:c>
      <x:c r="W6" s="44" t="n">
        <x:v>244</x:v>
      </x:c>
      <x:c r="X6" s="44" t="n">
        <x:v>11</x:v>
      </x:c>
      <x:c r="Y6" s="43" t="str">
        <x:v>内容角度：使用教程；人工合成，仅用于功能验证</x:v>
      </x:c>
      <x:c r="Z6" s="43" t="str"/>
      <x:c r="AA6" s="46" t="n">
        <x:f>IFERROR((P6+Q6+R6+S6)/O6,0)</x:f>
        <x:v>0.06837606837606838</x:v>
      </x:c>
      <x:c r="AB6" s="46" t="n">
        <x:f>IF(OR(W6="",O6=0),"",W6/O6)</x:f>
        <x:v>0.02397092052264466</x:v>
      </x:c>
      <x:c r="AC6" s="46" t="n">
        <x:f>IF(OR(X6="",W6=0),"",X6/W6)</x:f>
        <x:v>0.045081967213114756</x:v>
      </x:c>
      <x:c r="AD6" s="47" t="str">
        <x:f>IF(J6="","",IF(J6&lt;=10,"≤10秒",IF(J6&lt;=20,"11—20秒",IF(J6&lt;=30,"21—30秒","&gt;30秒"))))</x:f>
        <x:v>21—30秒</x:v>
      </x:c>
      <x:c r="AE6" s="48" t="n">
        <x:f>(IF(A6&lt;&gt;"",1,0)+IF(D6&lt;&gt;"",1,0)+IF(O6&gt;0,1,0)+IF(OR(G6&lt;&gt;"",H6&lt;&gt;"",I6&lt;&gt;""),1,0)+IF(OR(T6&lt;&gt;"",U6&lt;&gt;"",V6&lt;&gt;""),1,0))/5</x:f>
        <x:v>1</x:v>
      </x:c>
      <x:c r="AF6" s="49" t="str">
        <x:f>IF(AE6=1,"可分析","需检查")</x:f>
        <x:v>可分析</x:v>
      </x:c>
    </x:row>
    <x:row r="7" ht="42" customHeight="1">
      <x:c r="A7" s="41" t="str">
        <x:v>TM003</x:v>
      </x:c>
      <x:c r="B7" s="42" t="str">
        <x:v>2026-07-08</x:v>
      </x:c>
      <x:c r="C7" s="43" t="str">
        <x:v>冻干黑咖啡</x:v>
      </x:c>
      <x:c r="D7" s="43" t="str">
        <x:v>食品饮料</x:v>
      </x:c>
      <x:c r="E7" s="43" t="str">
        <x:v>0-50元</x:v>
      </x:c>
      <x:c r="F7" s="43" t="str">
        <x:v>上班族</x:v>
      </x:c>
      <x:c r="G7" s="43" t="str">
        <x:v>用了7天冻干黑咖啡，最明显的变化</x:v>
      </x:c>
      <x:c r="H7" s="43" t="str">
        <x:v>别只看宣传图，冻干黑咖啡真实使用效果在这里。开头直接展示结果，中段拆解材质与功能，结尾总结优缺点。</x:v>
      </x:c>
      <x:c r="I7" s="43" t="str">
        <x:v>别只看宣传图，冻干黑咖啡真实使用效果在这里</x:v>
      </x:c>
      <x:c r="J7" s="43" t="n">
        <x:v>30</x:v>
      </x:c>
      <x:c r="K7" s="43" t="str">
        <x:v>否</x:v>
      </x:c>
      <x:c r="L7" s="43" t="str">
        <x:v>是</x:v>
      </x:c>
      <x:c r="M7" s="43" t="str">
        <x:v>是</x:v>
      </x:c>
      <x:c r="N7" s="43" t="str">
        <x:v>否</x:v>
      </x:c>
      <x:c r="O7" s="44" t="n">
        <x:v>13558</x:v>
      </x:c>
      <x:c r="P7" s="44" t="n">
        <x:v>597</x:v>
      </x:c>
      <x:c r="Q7" s="44" t="n">
        <x:v>49</x:v>
      </x:c>
      <x:c r="R7" s="44" t="n">
        <x:v>353</x:v>
      </x:c>
      <x:c r="S7" s="44" t="n">
        <x:v>95</x:v>
      </x:c>
      <x:c r="T7" s="45" t="n">
        <x:v>0.35</x:v>
      </x:c>
      <x:c r="U7" s="43" t="n">
        <x:v>8.6</x:v>
      </x:c>
      <x:c r="V7" s="45" t="n">
        <x:v>0.64</x:v>
      </x:c>
      <x:c r="W7" s="44" t="n">
        <x:v>407</x:v>
      </x:c>
      <x:c r="X7" s="44" t="n">
        <x:v>24</x:v>
      </x:c>
      <x:c r="Y7" s="43" t="str">
        <x:v>内容角度：前后对比；人工合成，仅用于功能验证</x:v>
      </x:c>
      <x:c r="Z7" s="43" t="str"/>
      <x:c r="AA7" s="46" t="n">
        <x:f>IFERROR((P7+Q7+R7+S7)/O7,0)</x:f>
        <x:v>0.0806903673108128</x:v>
      </x:c>
      <x:c r="AB7" s="46" t="n">
        <x:f>IF(OR(W7="",O7=0),"",W7/O7)</x:f>
        <x:v>0.0300191768697448</x:v>
      </x:c>
      <x:c r="AC7" s="46" t="n">
        <x:f>IF(OR(X7="",W7=0),"",X7/W7)</x:f>
        <x:v>0.05896805896805897</x:v>
      </x:c>
      <x:c r="AD7" s="47" t="str">
        <x:f>IF(J7="","",IF(J7&lt;=10,"≤10秒",IF(J7&lt;=20,"11—20秒",IF(J7&lt;=30,"21—30秒","&gt;30秒"))))</x:f>
        <x:v>21—30秒</x:v>
      </x:c>
      <x:c r="AE7" s="48" t="n">
        <x:f>(IF(A7&lt;&gt;"",1,0)+IF(D7&lt;&gt;"",1,0)+IF(O7&gt;0,1,0)+IF(OR(G7&lt;&gt;"",H7&lt;&gt;"",I7&lt;&gt;""),1,0)+IF(OR(T7&lt;&gt;"",U7&lt;&gt;"",V7&lt;&gt;""),1,0))/5</x:f>
        <x:v>1</x:v>
      </x:c>
      <x:c r="AF7" s="49" t="str">
        <x:f>IF(AE7=1,"可分析","需检查")</x:f>
        <x:v>可分析</x:v>
      </x:c>
    </x:row>
    <x:row r="8" ht="42" customHeight="1">
      <x:c r="A8" s="41" t="str">
        <x:v>TM004</x:v>
      </x:c>
      <x:c r="B8" s="42" t="str">
        <x:v>2026-07-09</x:v>
      </x:c>
      <x:c r="C8" s="43" t="str">
        <x:v>低糖燕麦脆</x:v>
      </x:c>
      <x:c r="D8" s="43" t="str">
        <x:v>食品饮料</x:v>
      </x:c>
      <x:c r="E8" s="43" t="str">
        <x:v>0-50元</x:v>
      </x:c>
      <x:c r="F8" s="43" t="str">
        <x:v>控糖人群</x:v>
      </x:c>
      <x:c r="G8" s="43" t="str">
        <x:v>低糖燕麦脆适合谁？一分钟说清</x:v>
      </x:c>
      <x:c r="H8" s="43" t="str">
        <x:v>如果你也遇到这个使用痛点，可以试试低糖燕麦脆。先做同价位对比，再突出商品差异点，最后提示价格与适用场景。</x:v>
      </x:c>
      <x:c r="I8" s="43" t="str">
        <x:v>如果你也遇到这个使用痛点，可以试试低糖燕麦脆</x:v>
      </x:c>
      <x:c r="J8" s="43" t="n">
        <x:v>37</x:v>
      </x:c>
      <x:c r="K8" s="43" t="str">
        <x:v>是</x:v>
      </x:c>
      <x:c r="L8" s="43" t="str">
        <x:v>是</x:v>
      </x:c>
      <x:c r="M8" s="43" t="str">
        <x:v>是</x:v>
      </x:c>
      <x:c r="N8" s="43" t="str">
        <x:v>是</x:v>
      </x:c>
      <x:c r="O8" s="44" t="n">
        <x:v>16937</x:v>
      </x:c>
      <x:c r="P8" s="44" t="n">
        <x:v>847</x:v>
      </x:c>
      <x:c r="Q8" s="44" t="n">
        <x:v>75</x:v>
      </x:c>
      <x:c r="R8" s="44" t="n">
        <x:v>508</x:v>
      </x:c>
      <x:c r="S8" s="44" t="n">
        <x:v>68</x:v>
      </x:c>
      <x:c r="T8" s="45" t="n">
        <x:v>0.385</x:v>
      </x:c>
      <x:c r="U8" s="43" t="n">
        <x:v>9.3</x:v>
      </x:c>
      <x:c r="V8" s="45" t="n">
        <x:v>0.685</x:v>
      </x:c>
      <x:c r="W8" s="44" t="n">
        <x:v>610</x:v>
      </x:c>
      <x:c r="X8" s="44" t="n">
        <x:v>43</x:v>
      </x:c>
      <x:c r="Y8" s="43" t="str">
        <x:v>内容角度：场景种草；人工合成，仅用于功能验证</x:v>
      </x:c>
      <x:c r="Z8" s="43" t="str"/>
      <x:c r="AA8" s="46" t="n">
        <x:f>IFERROR((P8+Q8+R8+S8)/O8,0)</x:f>
        <x:v>0.08844541536281514</x:v>
      </x:c>
      <x:c r="AB8" s="46" t="n">
        <x:f>IF(OR(W8="",O8=0),"",W8/O8)</x:f>
        <x:v>0.03601582334533861</x:v>
      </x:c>
      <x:c r="AC8" s="46" t="n">
        <x:f>IF(OR(X8="",W8=0),"",X8/W8)</x:f>
        <x:v>0.07049180327868852</x:v>
      </x:c>
      <x:c r="AD8" s="47" t="str">
        <x:f>IF(J8="","",IF(J8&lt;=10,"≤10秒",IF(J8&lt;=20,"11—20秒",IF(J8&lt;=30,"21—30秒","&gt;30秒"))))</x:f>
        <x:v>&gt;30秒</x:v>
      </x:c>
      <x:c r="AE8" s="48" t="n">
        <x:f>(IF(A8&lt;&gt;"",1,0)+IF(D8&lt;&gt;"",1,0)+IF(O8&gt;0,1,0)+IF(OR(G8&lt;&gt;"",H8&lt;&gt;"",I8&lt;&gt;""),1,0)+IF(OR(T8&lt;&gt;"",U8&lt;&gt;"",V8&lt;&gt;""),1,0))/5</x:f>
        <x:v>1</x:v>
      </x:c>
      <x:c r="AF8" s="49" t="str">
        <x:f>IF(AE8=1,"可分析","需检查")</x:f>
        <x:v>可分析</x:v>
      </x:c>
    </x:row>
    <x:row r="9" ht="42" customHeight="1">
      <x:c r="A9" s="41" t="str">
        <x:v>TM005</x:v>
      </x:c>
      <x:c r="B9" s="42" t="str">
        <x:v>2026-07-10</x:v>
      </x:c>
      <x:c r="C9" s="43" t="str">
        <x:v>免手洗平板拖把</x:v>
      </x:c>
      <x:c r="D9" s="43" t="str">
        <x:v>家居日用</x:v>
      </x:c>
      <x:c r="E9" s="43" t="str">
        <x:v>50-100元</x:v>
      </x:c>
      <x:c r="F9" s="43" t="str">
        <x:v>租房青年</x:v>
      </x:c>
      <x:c r="G9" s="43" t="str">
        <x:v>免手洗平板拖把真实使用：值不值得买</x:v>
      </x:c>
      <x:c r="H9" s="43" t="str">
        <x:v>买免手洗平板拖把前，先看这个最容易忽略的细节。先展示消费痛点，再实拍商品核心功能，最后给出适用人群和购买提醒。</x:v>
      </x:c>
      <x:c r="I9" s="43" t="str">
        <x:v>买免手洗平板拖把前，先看这个最容易忽略的细节</x:v>
      </x:c>
      <x:c r="J9" s="43" t="n">
        <x:v>21</x:v>
      </x:c>
      <x:c r="K9" s="43" t="str">
        <x:v>是</x:v>
      </x:c>
      <x:c r="L9" s="43" t="str">
        <x:v>是</x:v>
      </x:c>
      <x:c r="M9" s="43" t="str">
        <x:v>是</x:v>
      </x:c>
      <x:c r="N9" s="43" t="str">
        <x:v>否</x:v>
      </x:c>
      <x:c r="O9" s="44" t="n">
        <x:v>20316</x:v>
      </x:c>
      <x:c r="P9" s="44" t="n">
        <x:v>1138</x:v>
      </x:c>
      <x:c r="Q9" s="44" t="n">
        <x:v>41</x:v>
      </x:c>
      <x:c r="R9" s="44" t="n">
        <x:v>691</x:v>
      </x:c>
      <x:c r="S9" s="44" t="n">
        <x:v>112</x:v>
      </x:c>
      <x:c r="T9" s="45" t="n">
        <x:v>0.42</x:v>
      </x:c>
      <x:c r="U9" s="43" t="n">
        <x:v>10</x:v>
      </x:c>
      <x:c r="V9" s="45" t="n">
        <x:v>0.73</x:v>
      </x:c>
      <x:c r="W9" s="44" t="n">
        <x:v>853</x:v>
      </x:c>
      <x:c r="X9" s="44" t="n">
        <x:v>30</x:v>
      </x:c>
      <x:c r="Y9" s="43" t="str">
        <x:v>内容角度：痛点演示；人工合成，仅用于功能验证</x:v>
      </x:c>
      <x:c r="Z9" s="43" t="str"/>
      <x:c r="AA9" s="46" t="n">
        <x:f>IFERROR((P9+Q9+R9+S9)/O9,0)</x:f>
        <x:v>0.09755857452254381</x:v>
      </x:c>
      <x:c r="AB9" s="46" t="n">
        <x:f>IF(OR(W9="",O9=0),"",W9/O9)</x:f>
        <x:v>0.04198661153770427</x:v>
      </x:c>
      <x:c r="AC9" s="46" t="n">
        <x:f>IF(OR(X9="",W9=0),"",X9/W9)</x:f>
        <x:v>0.035169988276670575</x:v>
      </x:c>
      <x:c r="AD9" s="47" t="str">
        <x:f>IF(J9="","",IF(J9&lt;=10,"≤10秒",IF(J9&lt;=20,"11—20秒",IF(J9&lt;=30,"21—30秒","&gt;30秒"))))</x:f>
        <x:v>21—30秒</x:v>
      </x:c>
      <x:c r="AE9" s="48" t="n">
        <x:f>(IF(A9&lt;&gt;"",1,0)+IF(D9&lt;&gt;"",1,0)+IF(O9&gt;0,1,0)+IF(OR(G9&lt;&gt;"",H9&lt;&gt;"",I9&lt;&gt;""),1,0)+IF(OR(T9&lt;&gt;"",U9&lt;&gt;"",V9&lt;&gt;""),1,0))/5</x:f>
        <x:v>1</x:v>
      </x:c>
      <x:c r="AF9" s="49" t="str">
        <x:f>IF(AE9=1,"可分析","需检查")</x:f>
        <x:v>可分析</x:v>
      </x:c>
    </x:row>
    <x:row r="10" ht="42" customHeight="1">
      <x:c r="A10" s="41" t="str">
        <x:v>TM006</x:v>
      </x:c>
      <x:c r="B10" s="42" t="str">
        <x:v>2026-07-11</x:v>
      </x:c>
      <x:c r="C10" s="43" t="str">
        <x:v>厨房去油湿巾</x:v>
      </x:c>
      <x:c r="D10" s="43" t="str">
        <x:v>家居日用</x:v>
      </x:c>
      <x:c r="E10" s="43" t="str">
        <x:v>0-50元</x:v>
      </x:c>
      <x:c r="F10" s="43" t="str">
        <x:v>家庭用户</x:v>
      </x:c>
      <x:c r="G10" s="43" t="str">
        <x:v>厨房去油湿巾三个细节实拍</x:v>
      </x:c>
      <x:c r="H10" s="43" t="str">
        <x:v>同价位对比后，我为什么留下这款厨房去油湿巾。从日常使用场景切入，演示三步操作，并展示使用前后差异。</x:v>
      </x:c>
      <x:c r="I10" s="43" t="str">
        <x:v>同价位对比后，我为什么留下这款厨房去油湿巾</x:v>
      </x:c>
      <x:c r="J10" s="43" t="n">
        <x:v>28</x:v>
      </x:c>
      <x:c r="K10" s="43" t="str">
        <x:v>是</x:v>
      </x:c>
      <x:c r="L10" s="43" t="str">
        <x:v>是</x:v>
      </x:c>
      <x:c r="M10" s="43" t="str">
        <x:v>是</x:v>
      </x:c>
      <x:c r="N10" s="43" t="str">
        <x:v>否</x:v>
      </x:c>
      <x:c r="O10" s="44" t="n">
        <x:v>23695</x:v>
      </x:c>
      <x:c r="P10" s="44" t="n">
        <x:v>1469</x:v>
      </x:c>
      <x:c r="Q10" s="44" t="n">
        <x:v>66</x:v>
      </x:c>
      <x:c r="R10" s="44" t="n">
        <x:v>427</x:v>
      </x:c>
      <x:c r="S10" s="44" t="n">
        <x:v>166</x:v>
      </x:c>
      <x:c r="T10" s="45" t="n">
        <x:v>0.455</x:v>
      </x:c>
      <x:c r="U10" s="43" t="n">
        <x:v>10.7</x:v>
      </x:c>
      <x:c r="V10" s="45" t="n">
        <x:v>0.775</x:v>
      </x:c>
      <x:c r="W10" s="44" t="n">
        <x:v>427</x:v>
      </x:c>
      <x:c r="X10" s="44" t="n">
        <x:v>20</x:v>
      </x:c>
      <x:c r="Y10" s="43" t="str">
        <x:v>内容角度：使用教程；人工合成，仅用于功能验证</x:v>
      </x:c>
      <x:c r="Z10" s="43" t="str"/>
      <x:c r="AA10" s="46" t="n">
        <x:f>IFERROR((P10+Q10+R10+S10)/O10,0)</x:f>
        <x:v>0.08980797636632201</x:v>
      </x:c>
      <x:c r="AB10" s="46" t="n">
        <x:f>IF(OR(W10="",O10=0),"",W10/O10)</x:f>
        <x:v>0.018020679468242245</x:v>
      </x:c>
      <x:c r="AC10" s="46" t="n">
        <x:f>IF(OR(X10="",W10=0),"",X10/W10)</x:f>
        <x:v>0.0468384074941452</x:v>
      </x:c>
      <x:c r="AD10" s="47" t="str">
        <x:f>IF(J10="","",IF(J10&lt;=10,"≤10秒",IF(J10&lt;=20,"11—20秒",IF(J10&lt;=30,"21—30秒","&gt;30秒"))))</x:f>
        <x:v>21—30秒</x:v>
      </x:c>
      <x:c r="AE10" s="48" t="n">
        <x:f>(IF(A10&lt;&gt;"",1,0)+IF(D10&lt;&gt;"",1,0)+IF(O10&gt;0,1,0)+IF(OR(G10&lt;&gt;"",H10&lt;&gt;"",I10&lt;&gt;""),1,0)+IF(OR(T10&lt;&gt;"",U10&lt;&gt;"",V10&lt;&gt;""),1,0))/5</x:f>
        <x:v>1</x:v>
      </x:c>
      <x:c r="AF10" s="49" t="str">
        <x:f>IF(AE10=1,"可分析","需检查")</x:f>
        <x:v>可分析</x:v>
      </x:c>
    </x:row>
    <x:row r="11" ht="42" customHeight="1">
      <x:c r="A11" s="41" t="str">
        <x:v>TM007</x:v>
      </x:c>
      <x:c r="B11" s="42" t="str">
        <x:v>2026-07-12</x:v>
      </x:c>
      <x:c r="C11" s="43" t="str">
        <x:v>冰丝防晒衬衫</x:v>
      </x:c>
      <x:c r="D11" s="43" t="str">
        <x:v>服饰配件</x:v>
      </x:c>
      <x:c r="E11" s="43" t="str">
        <x:v>100-200元</x:v>
      </x:c>
      <x:c r="F11" s="43" t="str">
        <x:v>年轻女性</x:v>
      </x:c>
      <x:c r="G11" s="43" t="str">
        <x:v>用了7天冰丝防晒衬衫，最明显的变化</x:v>
      </x:c>
      <x:c r="H11" s="43" t="str">
        <x:v>别只看宣传图，冰丝防晒衬衫真实使用效果在这里。开头直接展示结果，中段拆解材质与功能，结尾总结优缺点。</x:v>
      </x:c>
      <x:c r="I11" s="43" t="str">
        <x:v>别只看宣传图，冰丝防晒衬衫真实使用效果在这里</x:v>
      </x:c>
      <x:c r="J11" s="43" t="n">
        <x:v>35</x:v>
      </x:c>
      <x:c r="K11" s="43" t="str">
        <x:v>否</x:v>
      </x:c>
      <x:c r="L11" s="43" t="str">
        <x:v>是</x:v>
      </x:c>
      <x:c r="M11" s="43" t="str">
        <x:v>是</x:v>
      </x:c>
      <x:c r="N11" s="43" t="str">
        <x:v>是</x:v>
      </x:c>
      <x:c r="O11" s="44" t="n">
        <x:v>27074</x:v>
      </x:c>
      <x:c r="P11" s="44" t="n">
        <x:v>866</x:v>
      </x:c>
      <x:c r="Q11" s="44" t="n">
        <x:v>97</x:v>
      </x:c>
      <x:c r="R11" s="44" t="n">
        <x:v>596</x:v>
      </x:c>
      <x:c r="S11" s="44" t="n">
        <x:v>108</x:v>
      </x:c>
      <x:c r="T11" s="45" t="n">
        <x:v>0.49</x:v>
      </x:c>
      <x:c r="U11" s="43" t="n">
        <x:v>11.4</x:v>
      </x:c>
      <x:c r="V11" s="45" t="n">
        <x:v>0.55</x:v>
      </x:c>
      <x:c r="W11" s="44" t="n">
        <x:v>650</x:v>
      </x:c>
      <x:c r="X11" s="44" t="n">
        <x:v>38</x:v>
      </x:c>
      <x:c r="Y11" s="43" t="str">
        <x:v>内容角度：前后对比；人工合成，仅用于功能验证</x:v>
      </x:c>
      <x:c r="Z11" s="43" t="str"/>
      <x:c r="AA11" s="46" t="n">
        <x:f>IFERROR((P11+Q11+R11+S11)/O11,0)</x:f>
        <x:v>0.06157198788505577</x:v>
      </x:c>
      <x:c r="AB11" s="46" t="n">
        <x:f>IF(OR(W11="",O11=0),"",W11/O11)</x:f>
        <x:v>0.024008273620447662</x:v>
      </x:c>
      <x:c r="AC11" s="46" t="n">
        <x:f>IF(OR(X11="",W11=0),"",X11/W11)</x:f>
        <x:v>0.05846153846153846</x:v>
      </x:c>
      <x:c r="AD11" s="47" t="str">
        <x:f>IF(J11="","",IF(J11&lt;=10,"≤10秒",IF(J11&lt;=20,"11—20秒",IF(J11&lt;=30,"21—30秒","&gt;30秒"))))</x:f>
        <x:v>&gt;30秒</x:v>
      </x:c>
      <x:c r="AE11" s="48" t="n">
        <x:f>(IF(A11&lt;&gt;"",1,0)+IF(D11&lt;&gt;"",1,0)+IF(O11&gt;0,1,0)+IF(OR(G11&lt;&gt;"",H11&lt;&gt;"",I11&lt;&gt;""),1,0)+IF(OR(T11&lt;&gt;"",U11&lt;&gt;"",V11&lt;&gt;""),1,0))/5</x:f>
        <x:v>1</x:v>
      </x:c>
      <x:c r="AF11" s="49" t="str">
        <x:f>IF(AE11=1,"可分析","需检查")</x:f>
        <x:v>可分析</x:v>
      </x:c>
    </x:row>
    <x:row r="12" ht="42" customHeight="1">
      <x:c r="A12" s="41" t="str">
        <x:v>TM008</x:v>
      </x:c>
      <x:c r="B12" s="42" t="str">
        <x:v>2026-07-13</x:v>
      </x:c>
      <x:c r="C12" s="43" t="str">
        <x:v>通勤托特包</x:v>
      </x:c>
      <x:c r="D12" s="43" t="str">
        <x:v>服饰配件</x:v>
      </x:c>
      <x:c r="E12" s="43" t="str">
        <x:v>100-200元</x:v>
      </x:c>
      <x:c r="F12" s="43" t="str">
        <x:v>职场女性</x:v>
      </x:c>
      <x:c r="G12" s="43" t="str">
        <x:v>通勤托特包适合谁？一分钟说清</x:v>
      </x:c>
      <x:c r="H12" s="43" t="str">
        <x:v>如果你也遇到这个使用痛点，可以试试通勤托特包。先做同价位对比，再突出商品差异点，最后提示价格与适用场景。</x:v>
      </x:c>
      <x:c r="I12" s="43" t="str">
        <x:v>如果你也遇到这个使用痛点，可以试试通勤托特包</x:v>
      </x:c>
      <x:c r="J12" s="43" t="n">
        <x:v>19</x:v>
      </x:c>
      <x:c r="K12" s="43" t="str">
        <x:v>是</x:v>
      </x:c>
      <x:c r="L12" s="43" t="str">
        <x:v>是</x:v>
      </x:c>
      <x:c r="M12" s="43" t="str">
        <x:v>是</x:v>
      </x:c>
      <x:c r="N12" s="43" t="str">
        <x:v>否</x:v>
      </x:c>
      <x:c r="O12" s="44" t="n">
        <x:v>8653</x:v>
      </x:c>
      <x:c r="P12" s="44" t="n">
        <x:v>329</x:v>
      </x:c>
      <x:c r="Q12" s="44" t="n">
        <x:v>38</x:v>
      </x:c>
      <x:c r="R12" s="44" t="n">
        <x:v>225</x:v>
      </x:c>
      <x:c r="S12" s="44" t="n">
        <x:v>48</x:v>
      </x:c>
      <x:c r="T12" s="45" t="n">
        <x:v>0.28</x:v>
      </x:c>
      <x:c r="U12" s="43" t="n">
        <x:v>12.1</x:v>
      </x:c>
      <x:c r="V12" s="45" t="n">
        <x:v>0.595</x:v>
      </x:c>
      <x:c r="W12" s="44" t="n">
        <x:v>260</x:v>
      </x:c>
      <x:c r="X12" s="44" t="n">
        <x:v>18</x:v>
      </x:c>
      <x:c r="Y12" s="43" t="str">
        <x:v>内容角度：场景种草；人工合成，仅用于功能验证</x:v>
      </x:c>
      <x:c r="Z12" s="43" t="str"/>
      <x:c r="AA12" s="46" t="n">
        <x:f>IFERROR((P12+Q12+R12+S12)/O12,0)</x:f>
        <x:v>0.07396278747255287</x:v>
      </x:c>
      <x:c r="AB12" s="46" t="n">
        <x:f>IF(OR(W12="",O12=0),"",W12/O12)</x:f>
        <x:v>0.030047382410724605</x:v>
      </x:c>
      <x:c r="AC12" s="46" t="n">
        <x:f>IF(OR(X12="",W12=0),"",X12/W12)</x:f>
        <x:v>0.06923076923076923</x:v>
      </x:c>
      <x:c r="AD12" s="47" t="str">
        <x:f>IF(J12="","",IF(J12&lt;=10,"≤10秒",IF(J12&lt;=20,"11—20秒",IF(J12&lt;=30,"21—30秒","&gt;30秒"))))</x:f>
        <x:v>11—20秒</x:v>
      </x:c>
      <x:c r="AE12" s="48" t="n">
        <x:f>(IF(A12&lt;&gt;"",1,0)+IF(D12&lt;&gt;"",1,0)+IF(O12&gt;0,1,0)+IF(OR(G12&lt;&gt;"",H12&lt;&gt;"",I12&lt;&gt;""),1,0)+IF(OR(T12&lt;&gt;"",U12&lt;&gt;"",V12&lt;&gt;""),1,0))/5</x:f>
        <x:v>1</x:v>
      </x:c>
      <x:c r="AF12" s="49" t="str">
        <x:f>IF(AE12=1,"可分析","需检查")</x:f>
        <x:v>可分析</x:v>
      </x:c>
    </x:row>
    <x:row r="13" ht="42" customHeight="1">
      <x:c r="A13" s="41" t="str">
        <x:v>TM009</x:v>
      </x:c>
      <x:c r="B13" s="42" t="str">
        <x:v>2026-07-14</x:v>
      </x:c>
      <x:c r="C13" s="43" t="str">
        <x:v>磁吸充电宝</x:v>
      </x:c>
      <x:c r="D13" s="43" t="str">
        <x:v>数码配件</x:v>
      </x:c>
      <x:c r="E13" s="43" t="str">
        <x:v>100-200元</x:v>
      </x:c>
      <x:c r="F13" s="43" t="str">
        <x:v>手机重度用户</x:v>
      </x:c>
      <x:c r="G13" s="43" t="str">
        <x:v>磁吸充电宝真实使用：值不值得买</x:v>
      </x:c>
      <x:c r="H13" s="43" t="str">
        <x:v>买磁吸充电宝前，先看这个最容易忽略的细节。先展示消费痛点，再实拍商品核心功能，最后给出适用人群和购买提醒。</x:v>
      </x:c>
      <x:c r="I13" s="43" t="str">
        <x:v>买磁吸充电宝前，先看这个最容易忽略的细节</x:v>
      </x:c>
      <x:c r="J13" s="43" t="n">
        <x:v>26</x:v>
      </x:c>
      <x:c r="K13" s="43" t="str">
        <x:v>是</x:v>
      </x:c>
      <x:c r="L13" s="43" t="str">
        <x:v>是</x:v>
      </x:c>
      <x:c r="M13" s="43" t="str">
        <x:v>是</x:v>
      </x:c>
      <x:c r="N13" s="43" t="str">
        <x:v>否</x:v>
      </x:c>
      <x:c r="O13" s="44" t="n">
        <x:v>12032</x:v>
      </x:c>
      <x:c r="P13" s="44" t="n">
        <x:v>529</x:v>
      </x:c>
      <x:c r="Q13" s="44" t="n">
        <x:v>24</x:v>
      </x:c>
      <x:c r="R13" s="44" t="n">
        <x:v>361</x:v>
      </x:c>
      <x:c r="S13" s="44" t="n">
        <x:v>84</x:v>
      </x:c>
      <x:c r="T13" s="45" t="n">
        <x:v>0.315</x:v>
      </x:c>
      <x:c r="U13" s="43" t="n">
        <x:v>7.2</x:v>
      </x:c>
      <x:c r="V13" s="45" t="n">
        <x:v>0.64</x:v>
      </x:c>
      <x:c r="W13" s="44" t="n">
        <x:v>433</x:v>
      </x:c>
      <x:c r="X13" s="44" t="n">
        <x:v>15</x:v>
      </x:c>
      <x:c r="Y13" s="43" t="str">
        <x:v>内容角度：痛点演示；人工合成，仅用于功能验证</x:v>
      </x:c>
      <x:c r="Z13" s="43" t="str"/>
      <x:c r="AA13" s="46" t="n">
        <x:f>IFERROR((P13+Q13+R13+S13)/O13,0)</x:f>
        <x:v>0.08294547872340426</x:v>
      </x:c>
      <x:c r="AB13" s="46" t="n">
        <x:f>IF(OR(W13="",O13=0),"",W13/O13)</x:f>
        <x:v>0.0359873670212766</x:v>
      </x:c>
      <x:c r="AC13" s="46" t="n">
        <x:f>IF(OR(X13="",W13=0),"",X13/W13)</x:f>
        <x:v>0.03464203233256351</x:v>
      </x:c>
      <x:c r="AD13" s="47" t="str">
        <x:f>IF(J13="","",IF(J13&lt;=10,"≤10秒",IF(J13&lt;=20,"11—20秒",IF(J13&lt;=30,"21—30秒","&gt;30秒"))))</x:f>
        <x:v>21—30秒</x:v>
      </x:c>
      <x:c r="AE13" s="48" t="n">
        <x:f>(IF(A13&lt;&gt;"",1,0)+IF(D13&lt;&gt;"",1,0)+IF(O13&gt;0,1,0)+IF(OR(G13&lt;&gt;"",H13&lt;&gt;"",I13&lt;&gt;""),1,0)+IF(OR(T13&lt;&gt;"",U13&lt;&gt;"",V13&lt;&gt;""),1,0))/5</x:f>
        <x:v>1</x:v>
      </x:c>
      <x:c r="AF13" s="49" t="str">
        <x:f>IF(AE13=1,"可分析","需检查")</x:f>
        <x:v>可分析</x:v>
      </x:c>
    </x:row>
    <x:row r="14" ht="42" customHeight="1">
      <x:c r="A14" s="41" t="str">
        <x:v>TM010</x:v>
      </x:c>
      <x:c r="B14" s="42" t="str">
        <x:v>2026-07-15</x:v>
      </x:c>
      <x:c r="C14" s="43" t="str">
        <x:v>开放式蓝牙耳机</x:v>
      </x:c>
      <x:c r="D14" s="43" t="str">
        <x:v>数码配件</x:v>
      </x:c>
      <x:c r="E14" s="43" t="str">
        <x:v>200元以上</x:v>
      </x:c>
      <x:c r="F14" s="43" t="str">
        <x:v>运动人群</x:v>
      </x:c>
      <x:c r="G14" s="43" t="str">
        <x:v>开放式蓝牙耳机三个细节实拍</x:v>
      </x:c>
      <x:c r="H14" s="43" t="str">
        <x:v>同价位对比后，我为什么留下这款开放式蓝牙耳机。从日常使用场景切入，演示三步操作，并展示使用前后差异。</x:v>
      </x:c>
      <x:c r="I14" s="43" t="str">
        <x:v>同价位对比后，我为什么留下这款开放式蓝牙耳机</x:v>
      </x:c>
      <x:c r="J14" s="43" t="n">
        <x:v>33</x:v>
      </x:c>
      <x:c r="K14" s="43" t="str">
        <x:v>是</x:v>
      </x:c>
      <x:c r="L14" s="43" t="str">
        <x:v>是</x:v>
      </x:c>
      <x:c r="M14" s="43" t="str">
        <x:v>是</x:v>
      </x:c>
      <x:c r="N14" s="43" t="str">
        <x:v>是</x:v>
      </x:c>
      <x:c r="O14" s="44" t="n">
        <x:v>15411</x:v>
      </x:c>
      <x:c r="P14" s="44" t="n">
        <x:v>771</x:v>
      </x:c>
      <x:c r="Q14" s="44" t="n">
        <x:v>43</x:v>
      </x:c>
      <x:c r="R14" s="44" t="n">
        <x:v>524</x:v>
      </x:c>
      <x:c r="S14" s="44" t="n">
        <x:v>62</x:v>
      </x:c>
      <x:c r="T14" s="45" t="n">
        <x:v>0.35</x:v>
      </x:c>
      <x:c r="U14" s="43" t="n">
        <x:v>7.9</x:v>
      </x:c>
      <x:c r="V14" s="45" t="n">
        <x:v>0.685</x:v>
      </x:c>
      <x:c r="W14" s="44" t="n">
        <x:v>647</x:v>
      </x:c>
      <x:c r="X14" s="44" t="n">
        <x:v>30</x:v>
      </x:c>
      <x:c r="Y14" s="43" t="str">
        <x:v>内容角度：使用教程；人工合成，仅用于功能验证</x:v>
      </x:c>
      <x:c r="Z14" s="43" t="str"/>
      <x:c r="AA14" s="46" t="n">
        <x:f>IFERROR((P14+Q14+R14+S14)/O14,0)</x:f>
        <x:v>0.09084420219323859</x:v>
      </x:c>
      <x:c r="AB14" s="46" t="n">
        <x:f>IF(OR(W14="",O14=0),"",W14/O14)</x:f>
        <x:v>0.041982999156446696</x:v>
      </x:c>
      <x:c r="AC14" s="46" t="n">
        <x:f>IF(OR(X14="",W14=0),"",X14/W14)</x:f>
        <x:v>0.04636785162287481</x:v>
      </x:c>
      <x:c r="AD14" s="47" t="str">
        <x:f>IF(J14="","",IF(J14&lt;=10,"≤10秒",IF(J14&lt;=20,"11—20秒",IF(J14&lt;=30,"21—30秒","&gt;30秒"))))</x:f>
        <x:v>&gt;30秒</x:v>
      </x:c>
      <x:c r="AE14" s="48" t="n">
        <x:f>(IF(A14&lt;&gt;"",1,0)+IF(D14&lt;&gt;"",1,0)+IF(O14&gt;0,1,0)+IF(OR(G14&lt;&gt;"",H14&lt;&gt;"",I14&lt;&gt;""),1,0)+IF(OR(T14&lt;&gt;"",U14&lt;&gt;"",V14&lt;&gt;""),1,0))/5</x:f>
        <x:v>1</x:v>
      </x:c>
      <x:c r="AF14" s="49" t="str">
        <x:f>IF(AE14=1,"可分析","需检查")</x:f>
        <x:v>可分析</x:v>
      </x:c>
    </x:row>
    <x:row r="15" ht="42" customHeight="1">
      <x:c r="A15" s="41" t="str">
        <x:v>TM011</x:v>
      </x:c>
      <x:c r="B15" s="42" t="str">
        <x:v>2026-07-16</x:v>
      </x:c>
      <x:c r="C15" s="43" t="str">
        <x:v>轻盈防晒乳</x:v>
      </x:c>
      <x:c r="D15" s="43" t="str">
        <x:v>美妆个护</x:v>
      </x:c>
      <x:c r="E15" s="43" t="str">
        <x:v>50-100元</x:v>
      </x:c>
      <x:c r="F15" s="43" t="str">
        <x:v>通勤女性</x:v>
      </x:c>
      <x:c r="G15" s="43" t="str">
        <x:v>用了7天轻盈防晒乳，最明显的变化</x:v>
      </x:c>
      <x:c r="H15" s="43" t="str">
        <x:v>别只看宣传图，轻盈防晒乳真实使用效果在这里。开头直接展示结果，中段拆解材质与功能，结尾总结优缺点。</x:v>
      </x:c>
      <x:c r="I15" s="43" t="str">
        <x:v>别只看宣传图，轻盈防晒乳真实使用效果在这里</x:v>
      </x:c>
      <x:c r="J15" s="43" t="n">
        <x:v>17</x:v>
      </x:c>
      <x:c r="K15" s="43" t="str">
        <x:v>否</x:v>
      </x:c>
      <x:c r="L15" s="43" t="str">
        <x:v>是</x:v>
      </x:c>
      <x:c r="M15" s="43" t="str">
        <x:v>是</x:v>
      </x:c>
      <x:c r="N15" s="43" t="str">
        <x:v>否</x:v>
      </x:c>
      <x:c r="O15" s="44" t="n">
        <x:v>18790</x:v>
      </x:c>
      <x:c r="P15" s="44" t="n">
        <x:v>1052</x:v>
      </x:c>
      <x:c r="Q15" s="44" t="n">
        <x:v>68</x:v>
      </x:c>
      <x:c r="R15" s="44" t="n">
        <x:v>338</x:v>
      </x:c>
      <x:c r="S15" s="44" t="n">
        <x:v>103</x:v>
      </x:c>
      <x:c r="T15" s="45" t="n">
        <x:v>0.385</x:v>
      </x:c>
      <x:c r="U15" s="43" t="n">
        <x:v>8.6</x:v>
      </x:c>
      <x:c r="V15" s="45" t="n">
        <x:v>0.73</x:v>
      </x:c>
      <x:c r="W15" s="44" t="n">
        <x:v>338</x:v>
      </x:c>
      <x:c r="X15" s="44" t="n">
        <x:v>20</x:v>
      </x:c>
      <x:c r="Y15" s="43" t="str">
        <x:v>内容角度：前后对比；人工合成，仅用于功能验证</x:v>
      </x:c>
      <x:c r="Z15" s="43" t="str"/>
      <x:c r="AA15" s="46" t="n">
        <x:f>IFERROR((P15+Q15+R15+S15)/O15,0)</x:f>
        <x:v>0.08307610431080362</x:v>
      </x:c>
      <x:c r="AB15" s="46" t="n">
        <x:f>IF(OR(W15="",O15=0),"",W15/O15)</x:f>
        <x:v>0.01798829164449175</x:v>
      </x:c>
      <x:c r="AC15" s="46" t="n">
        <x:f>IF(OR(X15="",W15=0),"",X15/W15)</x:f>
        <x:v>0.05917159763313609</x:v>
      </x:c>
      <x:c r="AD15" s="47" t="str">
        <x:f>IF(J15="","",IF(J15&lt;=10,"≤10秒",IF(J15&lt;=20,"11—20秒",IF(J15&lt;=30,"21—30秒","&gt;30秒"))))</x:f>
        <x:v>11—20秒</x:v>
      </x:c>
      <x:c r="AE15" s="48" t="n">
        <x:f>(IF(A15&lt;&gt;"",1,0)+IF(D15&lt;&gt;"",1,0)+IF(O15&gt;0,1,0)+IF(OR(G15&lt;&gt;"",H15&lt;&gt;"",I15&lt;&gt;""),1,0)+IF(OR(T15&lt;&gt;"",U15&lt;&gt;"",V15&lt;&gt;""),1,0))/5</x:f>
        <x:v>1</x:v>
      </x:c>
      <x:c r="AF15" s="49" t="str">
        <x:f>IF(AE15=1,"可分析","需检查")</x:f>
        <x:v>可分析</x:v>
      </x:c>
    </x:row>
    <x:row r="16" ht="42" customHeight="1">
      <x:c r="A16" s="41" t="str">
        <x:v>TM012</x:v>
      </x:c>
      <x:c r="B16" s="42" t="str">
        <x:v>2026-07-17</x:v>
      </x:c>
      <x:c r="C16" s="43" t="str">
        <x:v>氨基酸洁面慕斯</x:v>
      </x:c>
      <x:c r="D16" s="43" t="str">
        <x:v>美妆个护</x:v>
      </x:c>
      <x:c r="E16" s="43" t="str">
        <x:v>50-100元</x:v>
      </x:c>
      <x:c r="F16" s="43" t="str">
        <x:v>敏感肌人群</x:v>
      </x:c>
      <x:c r="G16" s="43" t="str">
        <x:v>氨基酸洁面慕斯适合谁？一分钟说清</x:v>
      </x:c>
      <x:c r="H16" s="43" t="str">
        <x:v>如果你也遇到这个使用痛点，可以试试氨基酸洁面慕斯。先做同价位对比，再突出商品差异点，最后提示价格与适用场景。</x:v>
      </x:c>
      <x:c r="I16" s="43" t="str">
        <x:v>如果你也遇到这个使用痛点，可以试试氨基酸洁面慕斯</x:v>
      </x:c>
      <x:c r="J16" s="43" t="n">
        <x:v>24</x:v>
      </x:c>
      <x:c r="K16" s="43" t="str">
        <x:v>是</x:v>
      </x:c>
      <x:c r="L16" s="43" t="str">
        <x:v>是</x:v>
      </x:c>
      <x:c r="M16" s="43" t="str">
        <x:v>是</x:v>
      </x:c>
      <x:c r="N16" s="43" t="str">
        <x:v>否</x:v>
      </x:c>
      <x:c r="O16" s="44" t="n">
        <x:v>22169</x:v>
      </x:c>
      <x:c r="P16" s="44" t="n">
        <x:v>1374</x:v>
      </x:c>
      <x:c r="Q16" s="44" t="n">
        <x:v>98</x:v>
      </x:c>
      <x:c r="R16" s="44" t="n">
        <x:v>488</x:v>
      </x:c>
      <x:c r="S16" s="44" t="n">
        <x:v>155</x:v>
      </x:c>
      <x:c r="T16" s="45" t="n">
        <x:v>0.42</x:v>
      </x:c>
      <x:c r="U16" s="43" t="n">
        <x:v>9.3</x:v>
      </x:c>
      <x:c r="V16" s="45" t="n">
        <x:v>0.775</x:v>
      </x:c>
      <x:c r="W16" s="44" t="n">
        <x:v>532</x:v>
      </x:c>
      <x:c r="X16" s="44" t="n">
        <x:v>38</x:v>
      </x:c>
      <x:c r="Y16" s="43" t="str">
        <x:v>内容角度：场景种草；人工合成，仅用于功能验证</x:v>
      </x:c>
      <x:c r="Z16" s="43" t="str"/>
      <x:c r="AA16" s="46" t="n">
        <x:f>IFERROR((P16+Q16+R16+S16)/O16,0)</x:f>
        <x:v>0.09540349136181153</x:v>
      </x:c>
      <x:c r="AB16" s="46" t="n">
        <x:f>IF(OR(W16="",O16=0),"",W16/O16)</x:f>
        <x:v>0.023997473950110516</x:v>
      </x:c>
      <x:c r="AC16" s="46" t="n">
        <x:f>IF(OR(X16="",W16=0),"",X16/W16)</x:f>
        <x:v>0.07142857142857142</x:v>
      </x:c>
      <x:c r="AD16" s="47" t="str">
        <x:f>IF(J16="","",IF(J16&lt;=10,"≤10秒",IF(J16&lt;=20,"11—20秒",IF(J16&lt;=30,"21—30秒","&gt;30秒"))))</x:f>
        <x:v>21—30秒</x:v>
      </x:c>
      <x:c r="AE16" s="48" t="n">
        <x:f>(IF(A16&lt;&gt;"",1,0)+IF(D16&lt;&gt;"",1,0)+IF(O16&gt;0,1,0)+IF(OR(G16&lt;&gt;"",H16&lt;&gt;"",I16&lt;&gt;""),1,0)+IF(OR(T16&lt;&gt;"",U16&lt;&gt;"",V16&lt;&gt;""),1,0))/5</x:f>
        <x:v>1</x:v>
      </x:c>
      <x:c r="AF16" s="49" t="str">
        <x:f>IF(AE16=1,"可分析","需检查")</x:f>
        <x:v>可分析</x:v>
      </x:c>
    </x:row>
    <x:row r="17" ht="42" customHeight="1">
      <x:c r="A17" s="41" t="str">
        <x:v>TM013</x:v>
      </x:c>
      <x:c r="B17" s="42" t="str">
        <x:v>2026-07-18</x:v>
      </x:c>
      <x:c r="C17" s="43" t="str">
        <x:v>冻干黑咖啡</x:v>
      </x:c>
      <x:c r="D17" s="43" t="str">
        <x:v>食品饮料</x:v>
      </x:c>
      <x:c r="E17" s="43" t="str">
        <x:v>0-50元</x:v>
      </x:c>
      <x:c r="F17" s="43" t="str">
        <x:v>上班族</x:v>
      </x:c>
      <x:c r="G17" s="43" t="str">
        <x:v>冻干黑咖啡真实使用：值不值得买</x:v>
      </x:c>
      <x:c r="H17" s="43" t="str">
        <x:v>买冻干黑咖啡前，先看这个最容易忽略的细节。先展示消费痛点，再实拍商品核心功能，最后给出适用人群和购买提醒。</x:v>
      </x:c>
      <x:c r="I17" s="43" t="str">
        <x:v>买冻干黑咖啡前，先看这个最容易忽略的细节</x:v>
      </x:c>
      <x:c r="J17" s="43" t="n">
        <x:v>31</x:v>
      </x:c>
      <x:c r="K17" s="43" t="str">
        <x:v>是</x:v>
      </x:c>
      <x:c r="L17" s="43" t="str">
        <x:v>是</x:v>
      </x:c>
      <x:c r="M17" s="43" t="str">
        <x:v>是</x:v>
      </x:c>
      <x:c r="N17" s="43" t="str">
        <x:v>是</x:v>
      </x:c>
      <x:c r="O17" s="44" t="n">
        <x:v>25548</x:v>
      </x:c>
      <x:c r="P17" s="44" t="n">
        <x:v>818</x:v>
      </x:c>
      <x:c r="Q17" s="44" t="n">
        <x:v>51</x:v>
      </x:c>
      <x:c r="R17" s="44" t="n">
        <x:v>664</x:v>
      </x:c>
      <x:c r="S17" s="44" t="n">
        <x:v>102</x:v>
      </x:c>
      <x:c r="T17" s="45" t="n">
        <x:v>0.455</x:v>
      </x:c>
      <x:c r="U17" s="43" t="n">
        <x:v>10</x:v>
      </x:c>
      <x:c r="V17" s="45" t="n">
        <x:v>0.55</x:v>
      </x:c>
      <x:c r="W17" s="44" t="n">
        <x:v>766</x:v>
      </x:c>
      <x:c r="X17" s="44" t="n">
        <x:v>27</x:v>
      </x:c>
      <x:c r="Y17" s="43" t="str">
        <x:v>内容角度：痛点演示；人工合成，仅用于功能验证</x:v>
      </x:c>
      <x:c r="Z17" s="43" t="str"/>
      <x:c r="AA17" s="46" t="n">
        <x:f>IFERROR((P17+Q17+R17+S17)/O17,0)</x:f>
        <x:v>0.06399718177548144</x:v>
      </x:c>
      <x:c r="AB17" s="46" t="n">
        <x:f>IF(OR(W17="",O17=0),"",W17/O17)</x:f>
        <x:v>0.029982777516831063</x:v>
      </x:c>
      <x:c r="AC17" s="46" t="n">
        <x:f>IF(OR(X17="",W17=0),"",X17/W17)</x:f>
        <x:v>0.03524804177545692</x:v>
      </x:c>
      <x:c r="AD17" s="47" t="str">
        <x:f>IF(J17="","",IF(J17&lt;=10,"≤10秒",IF(J17&lt;=20,"11—20秒",IF(J17&lt;=30,"21—30秒","&gt;30秒"))))</x:f>
        <x:v>&gt;30秒</x:v>
      </x:c>
      <x:c r="AE17" s="48" t="n">
        <x:f>(IF(A17&lt;&gt;"",1,0)+IF(D17&lt;&gt;"",1,0)+IF(O17&gt;0,1,0)+IF(OR(G17&lt;&gt;"",H17&lt;&gt;"",I17&lt;&gt;""),1,0)+IF(OR(T17&lt;&gt;"",U17&lt;&gt;"",V17&lt;&gt;""),1,0))/5</x:f>
        <x:v>1</x:v>
      </x:c>
      <x:c r="AF17" s="49" t="str">
        <x:f>IF(AE17=1,"可分析","需检查")</x:f>
        <x:v>可分析</x:v>
      </x:c>
    </x:row>
    <x:row r="18" ht="42" customHeight="1">
      <x:c r="A18" s="41" t="str">
        <x:v>TM014</x:v>
      </x:c>
      <x:c r="B18" s="42" t="str">
        <x:v>2026-07-19</x:v>
      </x:c>
      <x:c r="C18" s="43" t="str">
        <x:v>低糖燕麦脆</x:v>
      </x:c>
      <x:c r="D18" s="43" t="str">
        <x:v>食品饮料</x:v>
      </x:c>
      <x:c r="E18" s="43" t="str">
        <x:v>0-50元</x:v>
      </x:c>
      <x:c r="F18" s="43" t="str">
        <x:v>控糖人群</x:v>
      </x:c>
      <x:c r="G18" s="43" t="str">
        <x:v>低糖燕麦脆三个细节实拍</x:v>
      </x:c>
      <x:c r="H18" s="43" t="str">
        <x:v>同价位对比后，我为什么留下这款低糖燕麦脆。从日常使用场景切入，演示三步操作，并展示使用前后差异。</x:v>
      </x:c>
      <x:c r="I18" s="43" t="str">
        <x:v>同价位对比后，我为什么留下这款低糖燕麦脆</x:v>
      </x:c>
      <x:c r="J18" s="43" t="n">
        <x:v>38</x:v>
      </x:c>
      <x:c r="K18" s="43" t="str">
        <x:v>是</x:v>
      </x:c>
      <x:c r="L18" s="43" t="str">
        <x:v>是</x:v>
      </x:c>
      <x:c r="M18" s="43" t="str">
        <x:v>是</x:v>
      </x:c>
      <x:c r="N18" s="43" t="str">
        <x:v>否</x:v>
      </x:c>
      <x:c r="O18" s="44" t="n">
        <x:v>7127</x:v>
      </x:c>
      <x:c r="P18" s="44" t="n">
        <x:v>271</x:v>
      </x:c>
      <x:c r="Q18" s="44" t="n">
        <x:v>20</x:v>
      </x:c>
      <x:c r="R18" s="44" t="n">
        <x:v>214</x:v>
      </x:c>
      <x:c r="S18" s="44" t="n">
        <x:v>39</x:v>
      </x:c>
      <x:c r="T18" s="45" t="n">
        <x:v>0.49</x:v>
      </x:c>
      <x:c r="U18" s="43" t="n">
        <x:v>10.7</x:v>
      </x:c>
      <x:c r="V18" s="45" t="n">
        <x:v>0.595</x:v>
      </x:c>
      <x:c r="W18" s="44" t="n">
        <x:v>257</x:v>
      </x:c>
      <x:c r="X18" s="44" t="n">
        <x:v>12</x:v>
      </x:c>
      <x:c r="Y18" s="43" t="str">
        <x:v>内容角度：使用教程；人工合成，仅用于功能验证</x:v>
      </x:c>
      <x:c r="Z18" s="43" t="str"/>
      <x:c r="AA18" s="46" t="n">
        <x:f>IFERROR((P18+Q18+R18+S18)/O18,0)</x:f>
        <x:v>0.07632945138206819</x:v>
      </x:c>
      <x:c r="AB18" s="46" t="n">
        <x:f>IF(OR(W18="",O18=0),"",W18/O18)</x:f>
        <x:v>0.03606005331836677</x:v>
      </x:c>
      <x:c r="AC18" s="46" t="n">
        <x:f>IF(OR(X18="",W18=0),"",X18/W18)</x:f>
        <x:v>0.04669260700389105</x:v>
      </x:c>
      <x:c r="AD18" s="47" t="str">
        <x:f>IF(J18="","",IF(J18&lt;=10,"≤10秒",IF(J18&lt;=20,"11—20秒",IF(J18&lt;=30,"21—30秒","&gt;30秒"))))</x:f>
        <x:v>&gt;30秒</x:v>
      </x:c>
      <x:c r="AE18" s="48" t="n">
        <x:f>(IF(A18&lt;&gt;"",1,0)+IF(D18&lt;&gt;"",1,0)+IF(O18&gt;0,1,0)+IF(OR(G18&lt;&gt;"",H18&lt;&gt;"",I18&lt;&gt;""),1,0)+IF(OR(T18&lt;&gt;"",U18&lt;&gt;"",V18&lt;&gt;""),1,0))/5</x:f>
        <x:v>1</x:v>
      </x:c>
      <x:c r="AF18" s="49" t="str">
        <x:f>IF(AE18=1,"可分析","需检查")</x:f>
        <x:v>可分析</x:v>
      </x:c>
    </x:row>
    <x:row r="19" ht="42" customHeight="1">
      <x:c r="A19" s="41" t="str">
        <x:v>TM015</x:v>
      </x:c>
      <x:c r="B19" s="42" t="str">
        <x:v>2026-07-20</x:v>
      </x:c>
      <x:c r="C19" s="43" t="str">
        <x:v>免手洗平板拖把</x:v>
      </x:c>
      <x:c r="D19" s="43" t="str">
        <x:v>家居日用</x:v>
      </x:c>
      <x:c r="E19" s="43" t="str">
        <x:v>50-100元</x:v>
      </x:c>
      <x:c r="F19" s="43" t="str">
        <x:v>租房青年</x:v>
      </x:c>
      <x:c r="G19" s="43" t="str">
        <x:v>用了7天免手洗平板拖把，最明显的变化</x:v>
      </x:c>
      <x:c r="H19" s="43" t="str">
        <x:v>别只看宣传图，免手洗平板拖把真实使用效果在这里。开头直接展示结果，中段拆解材质与功能，结尾总结优缺点。</x:v>
      </x:c>
      <x:c r="I19" s="43" t="str">
        <x:v>别只看宣传图，免手洗平板拖把真实使用效果在这里</x:v>
      </x:c>
      <x:c r="J19" s="43" t="n">
        <x:v>22</x:v>
      </x:c>
      <x:c r="K19" s="43" t="str">
        <x:v>否</x:v>
      </x:c>
      <x:c r="L19" s="43" t="str">
        <x:v>是</x:v>
      </x:c>
      <x:c r="M19" s="43" t="str">
        <x:v>是</x:v>
      </x:c>
      <x:c r="N19" s="43" t="str">
        <x:v>否</x:v>
      </x:c>
      <x:c r="O19" s="44" t="n">
        <x:v>10506</x:v>
      </x:c>
      <x:c r="P19" s="44" t="n">
        <x:v>462</x:v>
      </x:c>
      <x:c r="Q19" s="44" t="n">
        <x:v>38</x:v>
      </x:c>
      <x:c r="R19" s="44" t="n">
        <x:v>357</x:v>
      </x:c>
      <x:c r="S19" s="44" t="n">
        <x:v>74</x:v>
      </x:c>
      <x:c r="T19" s="45" t="n">
        <x:v>0.28</x:v>
      </x:c>
      <x:c r="U19" s="43" t="n">
        <x:v>11.4</x:v>
      </x:c>
      <x:c r="V19" s="45" t="n">
        <x:v>0.64</x:v>
      </x:c>
      <x:c r="W19" s="44" t="n">
        <x:v>441</x:v>
      </x:c>
      <x:c r="X19" s="44" t="n">
        <x:v>26</x:v>
      </x:c>
      <x:c r="Y19" s="43" t="str">
        <x:v>内容角度：前后对比；人工合成，仅用于功能验证</x:v>
      </x:c>
      <x:c r="Z19" s="43" t="str"/>
      <x:c r="AA19" s="46" t="n">
        <x:f>IFERROR((P19+Q19+R19+S19)/O19,0)</x:f>
        <x:v>0.08861602893584618</x:v>
      </x:c>
      <x:c r="AB19" s="46" t="n">
        <x:f>IF(OR(W19="",O19=0),"",W19/O19)</x:f>
        <x:v>0.04197601370645346</x:v>
      </x:c>
      <x:c r="AC19" s="46" t="n">
        <x:f>IF(OR(X19="",W19=0),"",X19/W19)</x:f>
        <x:v>0.05895691609977324</x:v>
      </x:c>
      <x:c r="AD19" s="47" t="str">
        <x:f>IF(J19="","",IF(J19&lt;=10,"≤10秒",IF(J19&lt;=20,"11—20秒",IF(J19&lt;=30,"21—30秒","&gt;30秒"))))</x:f>
        <x:v>21—30秒</x:v>
      </x:c>
      <x:c r="AE19" s="48" t="n">
        <x:f>(IF(A19&lt;&gt;"",1,0)+IF(D19&lt;&gt;"",1,0)+IF(O19&gt;0,1,0)+IF(OR(G19&lt;&gt;"",H19&lt;&gt;"",I19&lt;&gt;""),1,0)+IF(OR(T19&lt;&gt;"",U19&lt;&gt;"",V19&lt;&gt;""),1,0))/5</x:f>
        <x:v>1</x:v>
      </x:c>
      <x:c r="AF19" s="49" t="str">
        <x:f>IF(AE19=1,"可分析","需检查")</x:f>
        <x:v>可分析</x:v>
      </x:c>
    </x:row>
    <x:row r="20" ht="42" customHeight="1">
      <x:c r="A20" s="41" t="str">
        <x:v>TM016</x:v>
      </x:c>
      <x:c r="B20" s="42" t="str">
        <x:v>2026-07-21</x:v>
      </x:c>
      <x:c r="C20" s="43" t="str">
        <x:v>厨房去油湿巾</x:v>
      </x:c>
      <x:c r="D20" s="43" t="str">
        <x:v>家居日用</x:v>
      </x:c>
      <x:c r="E20" s="43" t="str">
        <x:v>0-50元</x:v>
      </x:c>
      <x:c r="F20" s="43" t="str">
        <x:v>家庭用户</x:v>
      </x:c>
      <x:c r="G20" s="43" t="str">
        <x:v>厨房去油湿巾适合谁？一分钟说清</x:v>
      </x:c>
      <x:c r="H20" s="43" t="str">
        <x:v>如果你也遇到这个使用痛点，可以试试厨房去油湿巾。先做同价位对比，再突出商品差异点，最后提示价格与适用场景。</x:v>
      </x:c>
      <x:c r="I20" s="43" t="str">
        <x:v>如果你也遇到这个使用痛点，可以试试厨房去油湿巾</x:v>
      </x:c>
      <x:c r="J20" s="43" t="n">
        <x:v>29</x:v>
      </x:c>
      <x:c r="K20" s="43" t="str">
        <x:v>是</x:v>
      </x:c>
      <x:c r="L20" s="43" t="str">
        <x:v>是</x:v>
      </x:c>
      <x:c r="M20" s="43" t="str">
        <x:v>是</x:v>
      </x:c>
      <x:c r="N20" s="43" t="str">
        <x:v>是</x:v>
      </x:c>
      <x:c r="O20" s="44" t="n">
        <x:v>13885</x:v>
      </x:c>
      <x:c r="P20" s="44" t="n">
        <x:v>694</x:v>
      </x:c>
      <x:c r="Q20" s="44" t="n">
        <x:v>61</x:v>
      </x:c>
      <x:c r="R20" s="44" t="n">
        <x:v>250</x:v>
      </x:c>
      <x:c r="S20" s="44" t="n">
        <x:v>56</x:v>
      </x:c>
      <x:c r="T20" s="45" t="n">
        <x:v>0.315</x:v>
      </x:c>
      <x:c r="U20" s="43" t="n">
        <x:v>12.1</x:v>
      </x:c>
      <x:c r="V20" s="45" t="n">
        <x:v>0.685</x:v>
      </x:c>
      <x:c r="W20" s="44" t="n">
        <x:v>250</x:v>
      </x:c>
      <x:c r="X20" s="44" t="n">
        <x:v>18</x:v>
      </x:c>
      <x:c r="Y20" s="43" t="str">
        <x:v>内容角度：场景种草；人工合成，仅用于功能验证</x:v>
      </x:c>
      <x:c r="Z20" s="43" t="str"/>
      <x:c r="AA20" s="46" t="n">
        <x:f>IFERROR((P20+Q20+R20+S20)/O20,0)</x:f>
        <x:v>0.07641339575081023</x:v>
      </x:c>
      <x:c r="AB20" s="46" t="n">
        <x:f>IF(OR(W20="",O20=0),"",W20/O20)</x:f>
        <x:v>0.018005041411595247</x:v>
      </x:c>
      <x:c r="AC20" s="46" t="n">
        <x:f>IF(OR(X20="",W20=0),"",X20/W20)</x:f>
        <x:v>0.072</x:v>
      </x:c>
      <x:c r="AD20" s="47" t="str">
        <x:f>IF(J20="","",IF(J20&lt;=10,"≤10秒",IF(J20&lt;=20,"11—20秒",IF(J20&lt;=30,"21—30秒","&gt;30秒"))))</x:f>
        <x:v>21—30秒</x:v>
      </x:c>
      <x:c r="AE20" s="48" t="n">
        <x:f>(IF(A20&lt;&gt;"",1,0)+IF(D20&lt;&gt;"",1,0)+IF(O20&gt;0,1,0)+IF(OR(G20&lt;&gt;"",H20&lt;&gt;"",I20&lt;&gt;""),1,0)+IF(OR(T20&lt;&gt;"",U20&lt;&gt;"",V20&lt;&gt;""),1,0))/5</x:f>
        <x:v>1</x:v>
      </x:c>
      <x:c r="AF20" s="49" t="str">
        <x:f>IF(AE20=1,"可分析","需检查")</x:f>
        <x:v>可分析</x:v>
      </x:c>
    </x:row>
    <x:row r="21" ht="42" customHeight="1">
      <x:c r="A21" s="41" t="str">
        <x:v>TM017</x:v>
      </x:c>
      <x:c r="B21" s="42" t="str">
        <x:v>2026-07-22</x:v>
      </x:c>
      <x:c r="C21" s="43" t="str">
        <x:v>冰丝防晒衬衫</x:v>
      </x:c>
      <x:c r="D21" s="43" t="str">
        <x:v>服饰配件</x:v>
      </x:c>
      <x:c r="E21" s="43" t="str">
        <x:v>100-200元</x:v>
      </x:c>
      <x:c r="F21" s="43" t="str">
        <x:v>年轻女性</x:v>
      </x:c>
      <x:c r="G21" s="43" t="str">
        <x:v>冰丝防晒衬衫真实使用：值不值得买</x:v>
      </x:c>
      <x:c r="H21" s="43" t="str">
        <x:v>买冰丝防晒衬衫前，先看这个最容易忽略的细节。先展示消费痛点，再实拍商品核心功能，最后给出适用人群和购买提醒。</x:v>
      </x:c>
      <x:c r="I21" s="43" t="str">
        <x:v>买冰丝防晒衬衫前，先看这个最容易忽略的细节</x:v>
      </x:c>
      <x:c r="J21" s="43" t="n">
        <x:v>36</x:v>
      </x:c>
      <x:c r="K21" s="43" t="str">
        <x:v>是</x:v>
      </x:c>
      <x:c r="L21" s="43" t="str">
        <x:v>是</x:v>
      </x:c>
      <x:c r="M21" s="43" t="str">
        <x:v>是</x:v>
      </x:c>
      <x:c r="N21" s="43" t="str">
        <x:v>否</x:v>
      </x:c>
      <x:c r="O21" s="44" t="n">
        <x:v>17264</x:v>
      </x:c>
      <x:c r="P21" s="44" t="n">
        <x:v>967</x:v>
      </x:c>
      <x:c r="Q21" s="44" t="n">
        <x:v>35</x:v>
      </x:c>
      <x:c r="R21" s="44" t="n">
        <x:v>380</x:v>
      </x:c>
      <x:c r="S21" s="44" t="n">
        <x:v>95</x:v>
      </x:c>
      <x:c r="T21" s="45" t="n">
        <x:v>0.35</x:v>
      </x:c>
      <x:c r="U21" s="43" t="n">
        <x:v>7.2</x:v>
      </x:c>
      <x:c r="V21" s="45" t="n">
        <x:v>0.73</x:v>
      </x:c>
      <x:c r="W21" s="44" t="n">
        <x:v>414</x:v>
      </x:c>
      <x:c r="X21" s="44" t="n">
        <x:v>14</x:v>
      </x:c>
      <x:c r="Y21" s="43" t="str">
        <x:v>内容角度：痛点演示；人工合成，仅用于功能验证</x:v>
      </x:c>
      <x:c r="Z21" s="43" t="str"/>
      <x:c r="AA21" s="46" t="n">
        <x:f>IFERROR((P21+Q21+R21+S21)/O21,0)</x:f>
        <x:v>0.08555375347544023</x:v>
      </x:c>
      <x:c r="AB21" s="46" t="n">
        <x:f>IF(OR(W21="",O21=0),"",W21/O21)</x:f>
        <x:v>0.023980537534754404</x:v>
      </x:c>
      <x:c r="AC21" s="46" t="n">
        <x:f>IF(OR(X21="",W21=0),"",X21/W21)</x:f>
        <x:v>0.033816425120772944</x:v>
      </x:c>
      <x:c r="AD21" s="47" t="str">
        <x:f>IF(J21="","",IF(J21&lt;=10,"≤10秒",IF(J21&lt;=20,"11—20秒",IF(J21&lt;=30,"21—30秒","&gt;30秒"))))</x:f>
        <x:v>&gt;30秒</x:v>
      </x:c>
      <x:c r="AE21" s="48" t="n">
        <x:f>(IF(A21&lt;&gt;"",1,0)+IF(D21&lt;&gt;"",1,0)+IF(O21&gt;0,1,0)+IF(OR(G21&lt;&gt;"",H21&lt;&gt;"",I21&lt;&gt;""),1,0)+IF(OR(T21&lt;&gt;"",U21&lt;&gt;"",V21&lt;&gt;""),1,0))/5</x:f>
        <x:v>1</x:v>
      </x:c>
      <x:c r="AF21" s="49" t="str">
        <x:f>IF(AE21=1,"可分析","需检查")</x:f>
        <x:v>可分析</x:v>
      </x:c>
    </x:row>
    <x:row r="22" ht="42" customHeight="1">
      <x:c r="A22" s="41" t="str">
        <x:v>TM018</x:v>
      </x:c>
      <x:c r="B22" s="42" t="str">
        <x:v>2026-07-23</x:v>
      </x:c>
      <x:c r="C22" s="43" t="str">
        <x:v>通勤托特包</x:v>
      </x:c>
      <x:c r="D22" s="43" t="str">
        <x:v>服饰配件</x:v>
      </x:c>
      <x:c r="E22" s="43" t="str">
        <x:v>100-200元</x:v>
      </x:c>
      <x:c r="F22" s="43" t="str">
        <x:v>职场女性</x:v>
      </x:c>
      <x:c r="G22" s="43" t="str">
        <x:v>通勤托特包三个细节实拍</x:v>
      </x:c>
      <x:c r="H22" s="43" t="str">
        <x:v>同价位对比后，我为什么留下这款通勤托特包。从日常使用场景切入，演示三步操作，并展示使用前后差异。</x:v>
      </x:c>
      <x:c r="I22" s="43" t="str">
        <x:v>同价位对比后，我为什么留下这款通勤托特包</x:v>
      </x:c>
      <x:c r="J22" s="43" t="n">
        <x:v>20</x:v>
      </x:c>
      <x:c r="K22" s="43" t="str">
        <x:v>是</x:v>
      </x:c>
      <x:c r="L22" s="43" t="str">
        <x:v>是</x:v>
      </x:c>
      <x:c r="M22" s="43" t="str">
        <x:v>是</x:v>
      </x:c>
      <x:c r="N22" s="43" t="str">
        <x:v>否</x:v>
      </x:c>
      <x:c r="O22" s="44" t="n">
        <x:v>20643</x:v>
      </x:c>
      <x:c r="P22" s="44" t="n">
        <x:v>1280</x:v>
      </x:c>
      <x:c r="Q22" s="44" t="n">
        <x:v>58</x:v>
      </x:c>
      <x:c r="R22" s="44" t="n">
        <x:v>537</x:v>
      </x:c>
      <x:c r="S22" s="44" t="n">
        <x:v>145</x:v>
      </x:c>
      <x:c r="T22" s="45" t="n">
        <x:v>0.385</x:v>
      </x:c>
      <x:c r="U22" s="43" t="n">
        <x:v>7.9</x:v>
      </x:c>
      <x:c r="V22" s="45" t="n">
        <x:v>0.775</x:v>
      </x:c>
      <x:c r="W22" s="44" t="n">
        <x:v>619</x:v>
      </x:c>
      <x:c r="X22" s="44" t="n">
        <x:v>29</x:v>
      </x:c>
      <x:c r="Y22" s="43" t="str">
        <x:v>内容角度：使用教程；人工合成，仅用于功能验证</x:v>
      </x:c>
      <x:c r="Z22" s="43" t="str"/>
      <x:c r="AA22" s="46" t="n">
        <x:f>IFERROR((P22+Q22+R22+S22)/O22,0)</x:f>
        <x:v>0.0978539940900063</x:v>
      </x:c>
      <x:c r="AB22" s="46" t="n">
        <x:f>IF(OR(W22="",O22=0),"",W22/O22)</x:f>
        <x:v>0.029985951654313812</x:v>
      </x:c>
      <x:c r="AC22" s="46" t="n">
        <x:f>IF(OR(X22="",W22=0),"",X22/W22)</x:f>
        <x:v>0.046849757673667204</x:v>
      </x:c>
      <x:c r="AD22" s="47" t="str">
        <x:f>IF(J22="","",IF(J22&lt;=10,"≤10秒",IF(J22&lt;=20,"11—20秒",IF(J22&lt;=30,"21—30秒","&gt;30秒"))))</x:f>
        <x:v>11—20秒</x:v>
      </x:c>
      <x:c r="AE22" s="48" t="n">
        <x:f>(IF(A22&lt;&gt;"",1,0)+IF(D22&lt;&gt;"",1,0)+IF(O22&gt;0,1,0)+IF(OR(G22&lt;&gt;"",H22&lt;&gt;"",I22&lt;&gt;""),1,0)+IF(OR(T22&lt;&gt;"",U22&lt;&gt;"",V22&lt;&gt;""),1,0))/5</x:f>
        <x:v>1</x:v>
      </x:c>
      <x:c r="AF22" s="49" t="str">
        <x:f>IF(AE22=1,"可分析","需检查")</x:f>
        <x:v>可分析</x:v>
      </x:c>
    </x:row>
    <x:row r="23" ht="42" customHeight="1">
      <x:c r="A23" s="41" t="str">
        <x:v>TM019</x:v>
      </x:c>
      <x:c r="B23" s="42" t="str">
        <x:v>2026-07-24</x:v>
      </x:c>
      <x:c r="C23" s="43" t="str">
        <x:v>磁吸充电宝</x:v>
      </x:c>
      <x:c r="D23" s="43" t="str">
        <x:v>数码配件</x:v>
      </x:c>
      <x:c r="E23" s="43" t="str">
        <x:v>100-200元</x:v>
      </x:c>
      <x:c r="F23" s="43" t="str">
        <x:v>手机重度用户</x:v>
      </x:c>
      <x:c r="G23" s="43" t="str">
        <x:v>用了7天磁吸充电宝，最明显的变化</x:v>
      </x:c>
      <x:c r="H23" s="43" t="str">
        <x:v>别只看宣传图，磁吸充电宝真实使用效果在这里。开头直接展示结果，中段拆解材质与功能，结尾总结优缺点。</x:v>
      </x:c>
      <x:c r="I23" s="43" t="str">
        <x:v>别只看宣传图，磁吸充电宝真实使用效果在这里</x:v>
      </x:c>
      <x:c r="J23" s="43" t="n">
        <x:v>27</x:v>
      </x:c>
      <x:c r="K23" s="43" t="str">
        <x:v>否</x:v>
      </x:c>
      <x:c r="L23" s="43" t="str">
        <x:v>是</x:v>
      </x:c>
      <x:c r="M23" s="43" t="str">
        <x:v>是</x:v>
      </x:c>
      <x:c r="N23" s="43" t="str">
        <x:v>是</x:v>
      </x:c>
      <x:c r="O23" s="44" t="n">
        <x:v>24022</x:v>
      </x:c>
      <x:c r="P23" s="44" t="n">
        <x:v>769</x:v>
      </x:c>
      <x:c r="Q23" s="44" t="n">
        <x:v>86</x:v>
      </x:c>
      <x:c r="R23" s="44" t="n">
        <x:v>721</x:v>
      </x:c>
      <x:c r="S23" s="44" t="n">
        <x:v>96</x:v>
      </x:c>
      <x:c r="T23" s="45" t="n">
        <x:v>0.42</x:v>
      </x:c>
      <x:c r="U23" s="43" t="n">
        <x:v>8.6</x:v>
      </x:c>
      <x:c r="V23" s="45" t="n">
        <x:v>0.55</x:v>
      </x:c>
      <x:c r="W23" s="44" t="n">
        <x:v>865</x:v>
      </x:c>
      <x:c r="X23" s="44" t="n">
        <x:v>51</x:v>
      </x:c>
      <x:c r="Y23" s="43" t="str">
        <x:v>内容角度：前后对比；人工合成，仅用于功能验证</x:v>
      </x:c>
      <x:c r="Z23" s="43" t="str"/>
      <x:c r="AA23" s="46" t="n">
        <x:f>IFERROR((P23+Q23+R23+S23)/O23,0)</x:f>
        <x:v>0.06960286404129548</x:v>
      </x:c>
      <x:c r="AB23" s="46" t="n">
        <x:f>IF(OR(W23="",O23=0),"",W23/O23)</x:f>
        <x:v>0.03600865872949796</x:v>
      </x:c>
      <x:c r="AC23" s="46" t="n">
        <x:f>IF(OR(X23="",W23=0),"",X23/W23)</x:f>
        <x:v>0.058959537572254334</x:v>
      </x:c>
      <x:c r="AD23" s="47" t="str">
        <x:f>IF(J23="","",IF(J23&lt;=10,"≤10秒",IF(J23&lt;=20,"11—20秒",IF(J23&lt;=30,"21—30秒","&gt;30秒"))))</x:f>
        <x:v>21—30秒</x:v>
      </x:c>
      <x:c r="AE23" s="48" t="n">
        <x:f>(IF(A23&lt;&gt;"",1,0)+IF(D23&lt;&gt;"",1,0)+IF(O23&gt;0,1,0)+IF(OR(G23&lt;&gt;"",H23&lt;&gt;"",I23&lt;&gt;""),1,0)+IF(OR(T23&lt;&gt;"",U23&lt;&gt;"",V23&lt;&gt;""),1,0))/5</x:f>
        <x:v>1</x:v>
      </x:c>
      <x:c r="AF23" s="49" t="str">
        <x:f>IF(AE23=1,"可分析","需检查")</x:f>
        <x:v>可分析</x:v>
      </x:c>
    </x:row>
    <x:row r="24" ht="42" customHeight="1">
      <x:c r="A24" s="41" t="str">
        <x:v>TM020</x:v>
      </x:c>
      <x:c r="B24" s="42" t="str">
        <x:v>2026-07-25</x:v>
      </x:c>
      <x:c r="C24" s="43" t="str">
        <x:v>开放式蓝牙耳机</x:v>
      </x:c>
      <x:c r="D24" s="43" t="str">
        <x:v>数码配件</x:v>
      </x:c>
      <x:c r="E24" s="43" t="str">
        <x:v>200元以上</x:v>
      </x:c>
      <x:c r="F24" s="43" t="str">
        <x:v>运动人群</x:v>
      </x:c>
      <x:c r="G24" s="43" t="str">
        <x:v>开放式蓝牙耳机适合谁？一分钟说清</x:v>
      </x:c>
      <x:c r="H24" s="43" t="str">
        <x:v>如果你也遇到这个使用痛点，可以试试开放式蓝牙耳机。先做同价位对比，再突出商品差异点，最后提示价格与适用场景。</x:v>
      </x:c>
      <x:c r="I24" s="43" t="str">
        <x:v>如果你也遇到这个使用痛点，可以试试开放式蓝牙耳机</x:v>
      </x:c>
      <x:c r="J24" s="43" t="n">
        <x:v>34</x:v>
      </x:c>
      <x:c r="K24" s="43" t="str">
        <x:v>是</x:v>
      </x:c>
      <x:c r="L24" s="43" t="str">
        <x:v>是</x:v>
      </x:c>
      <x:c r="M24" s="43" t="str">
        <x:v>是</x:v>
      </x:c>
      <x:c r="N24" s="43" t="str">
        <x:v>否</x:v>
      </x:c>
      <x:c r="O24" s="44" t="n">
        <x:v>27401</x:v>
      </x:c>
      <x:c r="P24" s="44" t="n">
        <x:v>1041</x:v>
      </x:c>
      <x:c r="Q24" s="44" t="n">
        <x:v>121</x:v>
      </x:c>
      <x:c r="R24" s="44" t="n">
        <x:v>932</x:v>
      </x:c>
      <x:c r="S24" s="44" t="n">
        <x:v>151</x:v>
      </x:c>
      <x:c r="T24" s="45" t="n">
        <x:v>0.455</x:v>
      </x:c>
      <x:c r="U24" s="43" t="n">
        <x:v>9.3</x:v>
      </x:c>
      <x:c r="V24" s="45" t="n">
        <x:v>0.595</x:v>
      </x:c>
      <x:c r="W24" s="44" t="n">
        <x:v>1151</x:v>
      </x:c>
      <x:c r="X24" s="44" t="n">
        <x:v>82</x:v>
      </x:c>
      <x:c r="Y24" s="43" t="str">
        <x:v>内容角度：场景种草；人工合成，仅用于功能验证</x:v>
      </x:c>
      <x:c r="Z24" s="43" t="str"/>
      <x:c r="AA24" s="46" t="n">
        <x:f>IFERROR((P24+Q24+R24+S24)/O24,0)</x:f>
        <x:v>0.08193131637531477</x:v>
      </x:c>
      <x:c r="AB24" s="46" t="n">
        <x:f>IF(OR(W24="",O24=0),"",W24/O24)</x:f>
        <x:v>0.04200576621291194</x:v>
      </x:c>
      <x:c r="AC24" s="46" t="n">
        <x:f>IF(OR(X24="",W24=0),"",X24/W24)</x:f>
        <x:v>0.07124239791485665</x:v>
      </x:c>
      <x:c r="AD24" s="47" t="str">
        <x:f>IF(J24="","",IF(J24&lt;=10,"≤10秒",IF(J24&lt;=20,"11—20秒",IF(J24&lt;=30,"21—30秒","&gt;30秒"))))</x:f>
        <x:v>&gt;30秒</x:v>
      </x:c>
      <x:c r="AE24" s="48" t="n">
        <x:f>(IF(A24&lt;&gt;"",1,0)+IF(D24&lt;&gt;"",1,0)+IF(O24&gt;0,1,0)+IF(OR(G24&lt;&gt;"",H24&lt;&gt;"",I24&lt;&gt;""),1,0)+IF(OR(T24&lt;&gt;"",U24&lt;&gt;"",V24&lt;&gt;""),1,0))/5</x:f>
        <x:v>1</x:v>
      </x:c>
      <x:c r="AF24" s="49" t="str">
        <x:f>IF(AE24=1,"可分析","需检查")</x:f>
        <x:v>可分析</x:v>
      </x:c>
    </x:row>
    <x:row r="25" ht="42" customHeight="1">
      <x:c r="A25" s="41" t="str">
        <x:v>TM021</x:v>
      </x:c>
      <x:c r="B25" s="42" t="str">
        <x:v>2026-07-26</x:v>
      </x:c>
      <x:c r="C25" s="43" t="str">
        <x:v>轻盈防晒乳</x:v>
      </x:c>
      <x:c r="D25" s="43" t="str">
        <x:v>美妆个护</x:v>
      </x:c>
      <x:c r="E25" s="43" t="str">
        <x:v>50-100元</x:v>
      </x:c>
      <x:c r="F25" s="43" t="str">
        <x:v>通勤女性</x:v>
      </x:c>
      <x:c r="G25" s="43" t="str">
        <x:v>轻盈防晒乳真实使用：值不值得买</x:v>
      </x:c>
      <x:c r="H25" s="43" t="str">
        <x:v>买轻盈防晒乳前，先看这个最容易忽略的细节。先展示消费痛点，再实拍商品核心功能，最后给出适用人群和购买提醒。</x:v>
      </x:c>
      <x:c r="I25" s="43" t="str">
        <x:v>买轻盈防晒乳前，先看这个最容易忽略的细节</x:v>
      </x:c>
      <x:c r="J25" s="43" t="n">
        <x:v>18</x:v>
      </x:c>
      <x:c r="K25" s="43" t="str">
        <x:v>是</x:v>
      </x:c>
      <x:c r="L25" s="43" t="str">
        <x:v>是</x:v>
      </x:c>
      <x:c r="M25" s="43" t="str">
        <x:v>是</x:v>
      </x:c>
      <x:c r="N25" s="43" t="str">
        <x:v>否</x:v>
      </x:c>
      <x:c r="O25" s="44" t="n">
        <x:v>8980</x:v>
      </x:c>
      <x:c r="P25" s="44" t="n">
        <x:v>395</x:v>
      </x:c>
      <x:c r="Q25" s="44" t="n">
        <x:v>18</x:v>
      </x:c>
      <x:c r="R25" s="44" t="n">
        <x:v>162</x:v>
      </x:c>
      <x:c r="S25" s="44" t="n">
        <x:v>63</x:v>
      </x:c>
      <x:c r="T25" s="45" t="n">
        <x:v>0.49</x:v>
      </x:c>
      <x:c r="U25" s="43" t="n">
        <x:v>10</x:v>
      </x:c>
      <x:c r="V25" s="45" t="n">
        <x:v>0.64</x:v>
      </x:c>
      <x:c r="W25" s="44" t="n">
        <x:v>162</x:v>
      </x:c>
      <x:c r="X25" s="44" t="n">
        <x:v>6</x:v>
      </x:c>
      <x:c r="Y25" s="43" t="str">
        <x:v>内容角度：痛点演示；人工合成，仅用于功能验证</x:v>
      </x:c>
      <x:c r="Z25" s="43" t="str"/>
      <x:c r="AA25" s="46" t="n">
        <x:f>IFERROR((P25+Q25+R25+S25)/O25,0)</x:f>
        <x:v>0.07104677060133631</x:v>
      </x:c>
      <x:c r="AB25" s="46" t="n">
        <x:f>IF(OR(W25="",O25=0),"",W25/O25)</x:f>
        <x:v>0.01804008908685969</x:v>
      </x:c>
      <x:c r="AC25" s="46" t="n">
        <x:f>IF(OR(X25="",W25=0),"",X25/W25)</x:f>
        <x:v>0.037037037037037035</x:v>
      </x:c>
      <x:c r="AD25" s="47" t="str">
        <x:f>IF(J25="","",IF(J25&lt;=10,"≤10秒",IF(J25&lt;=20,"11—20秒",IF(J25&lt;=30,"21—30秒","&gt;30秒"))))</x:f>
        <x:v>11—20秒</x:v>
      </x:c>
      <x:c r="AE25" s="48" t="n">
        <x:f>(IF(A25&lt;&gt;"",1,0)+IF(D25&lt;&gt;"",1,0)+IF(O25&gt;0,1,0)+IF(OR(G25&lt;&gt;"",H25&lt;&gt;"",I25&lt;&gt;""),1,0)+IF(OR(T25&lt;&gt;"",U25&lt;&gt;"",V25&lt;&gt;""),1,0))/5</x:f>
        <x:v>1</x:v>
      </x:c>
      <x:c r="AF25" s="49" t="str">
        <x:f>IF(AE25=1,"可分析","需检查")</x:f>
        <x:v>可分析</x:v>
      </x:c>
    </x:row>
    <x:row r="26" ht="42" customHeight="1">
      <x:c r="A26" s="41" t="str">
        <x:v>TM022</x:v>
      </x:c>
      <x:c r="B26" s="42" t="str">
        <x:v>2026-07-27</x:v>
      </x:c>
      <x:c r="C26" s="43" t="str">
        <x:v>氨基酸洁面慕斯</x:v>
      </x:c>
      <x:c r="D26" s="43" t="str">
        <x:v>美妆个护</x:v>
      </x:c>
      <x:c r="E26" s="43" t="str">
        <x:v>50-100元</x:v>
      </x:c>
      <x:c r="F26" s="43" t="str">
        <x:v>敏感肌人群</x:v>
      </x:c>
      <x:c r="G26" s="43" t="str">
        <x:v>氨基酸洁面慕斯三个细节实拍</x:v>
      </x:c>
      <x:c r="H26" s="43" t="str">
        <x:v>同价位对比后，我为什么留下这款氨基酸洁面慕斯。从日常使用场景切入，演示三步操作，并展示使用前后差异。</x:v>
      </x:c>
      <x:c r="I26" s="43" t="str">
        <x:v>同价位对比后，我为什么留下这款氨基酸洁面慕斯</x:v>
      </x:c>
      <x:c r="J26" s="43" t="n">
        <x:v>25</x:v>
      </x:c>
      <x:c r="K26" s="43" t="str">
        <x:v>是</x:v>
      </x:c>
      <x:c r="L26" s="43" t="str">
        <x:v>是</x:v>
      </x:c>
      <x:c r="M26" s="43" t="str">
        <x:v>是</x:v>
      </x:c>
      <x:c r="N26" s="43" t="str">
        <x:v>是</x:v>
      </x:c>
      <x:c r="O26" s="44" t="n">
        <x:v>12359</x:v>
      </x:c>
      <x:c r="P26" s="44" t="n">
        <x:v>618</x:v>
      </x:c>
      <x:c r="Q26" s="44" t="n">
        <x:v>35</x:v>
      </x:c>
      <x:c r="R26" s="44" t="n">
        <x:v>272</x:v>
      </x:c>
      <x:c r="S26" s="44" t="n">
        <x:v>49</x:v>
      </x:c>
      <x:c r="T26" s="45" t="n">
        <x:v>0.28</x:v>
      </x:c>
      <x:c r="U26" s="43" t="n">
        <x:v>10.7</x:v>
      </x:c>
      <x:c r="V26" s="45" t="n">
        <x:v>0.685</x:v>
      </x:c>
      <x:c r="W26" s="44" t="n">
        <x:v>297</x:v>
      </x:c>
      <x:c r="X26" s="44" t="n">
        <x:v>14</x:v>
      </x:c>
      <x:c r="Y26" s="43" t="str">
        <x:v>内容角度：使用教程；人工合成，仅用于功能验证</x:v>
      </x:c>
      <x:c r="Z26" s="43" t="str"/>
      <x:c r="AA26" s="46" t="n">
        <x:f>IFERROR((P26+Q26+R26+S26)/O26,0)</x:f>
        <x:v>0.07880896512662837</x:v>
      </x:c>
      <x:c r="AB26" s="46" t="n">
        <x:f>IF(OR(W26="",O26=0),"",W26/O26)</x:f>
        <x:v>0.02403107047495752</x:v>
      </x:c>
      <x:c r="AC26" s="46" t="n">
        <x:f>IF(OR(X26="",W26=0),"",X26/W26)</x:f>
        <x:v>0.04713804713804714</x:v>
      </x:c>
      <x:c r="AD26" s="47" t="str">
        <x:f>IF(J26="","",IF(J26&lt;=10,"≤10秒",IF(J26&lt;=20,"11—20秒",IF(J26&lt;=30,"21—30秒","&gt;30秒"))))</x:f>
        <x:v>21—30秒</x:v>
      </x:c>
      <x:c r="AE26" s="48" t="n">
        <x:f>(IF(A26&lt;&gt;"",1,0)+IF(D26&lt;&gt;"",1,0)+IF(O26&gt;0,1,0)+IF(OR(G26&lt;&gt;"",H26&lt;&gt;"",I26&lt;&gt;""),1,0)+IF(OR(T26&lt;&gt;"",U26&lt;&gt;"",V26&lt;&gt;""),1,0))/5</x:f>
        <x:v>1</x:v>
      </x:c>
      <x:c r="AF26" s="49" t="str">
        <x:f>IF(AE26=1,"可分析","需检查")</x:f>
        <x:v>可分析</x:v>
      </x:c>
    </x:row>
    <x:row r="27" ht="42" customHeight="1">
      <x:c r="A27" s="41" t="str">
        <x:v>TM023</x:v>
      </x:c>
      <x:c r="B27" s="42" t="str">
        <x:v>2026-07-28</x:v>
      </x:c>
      <x:c r="C27" s="43" t="str">
        <x:v>冻干黑咖啡</x:v>
      </x:c>
      <x:c r="D27" s="43" t="str">
        <x:v>食品饮料</x:v>
      </x:c>
      <x:c r="E27" s="43" t="str">
        <x:v>0-50元</x:v>
      </x:c>
      <x:c r="F27" s="43" t="str">
        <x:v>上班族</x:v>
      </x:c>
      <x:c r="G27" s="43" t="str">
        <x:v>用了7天冻干黑咖啡，最明显的变化</x:v>
      </x:c>
      <x:c r="H27" s="43" t="str">
        <x:v>别只看宣传图，冻干黑咖啡真实使用效果在这里。开头直接展示结果，中段拆解材质与功能，结尾总结优缺点。</x:v>
      </x:c>
      <x:c r="I27" s="43" t="str">
        <x:v>别只看宣传图，冻干黑咖啡真实使用效果在这里</x:v>
      </x:c>
      <x:c r="J27" s="43" t="n">
        <x:v>32</x:v>
      </x:c>
      <x:c r="K27" s="43" t="str">
        <x:v>否</x:v>
      </x:c>
      <x:c r="L27" s="43" t="str">
        <x:v>是</x:v>
      </x:c>
      <x:c r="M27" s="43" t="str">
        <x:v>是</x:v>
      </x:c>
      <x:c r="N27" s="43" t="str">
        <x:v>否</x:v>
      </x:c>
      <x:c r="O27" s="44" t="n">
        <x:v>15738</x:v>
      </x:c>
      <x:c r="P27" s="44" t="n">
        <x:v>881</x:v>
      </x:c>
      <x:c r="Q27" s="44" t="n">
        <x:v>57</x:v>
      </x:c>
      <x:c r="R27" s="44" t="n">
        <x:v>409</x:v>
      </x:c>
      <x:c r="S27" s="44" t="n">
        <x:v>87</x:v>
      </x:c>
      <x:c r="T27" s="45" t="n">
        <x:v>0.315</x:v>
      </x:c>
      <x:c r="U27" s="43" t="n">
        <x:v>11.4</x:v>
      </x:c>
      <x:c r="V27" s="45" t="n">
        <x:v>0.73</x:v>
      </x:c>
      <x:c r="W27" s="44" t="n">
        <x:v>472</x:v>
      </x:c>
      <x:c r="X27" s="44" t="n">
        <x:v>28</x:v>
      </x:c>
      <x:c r="Y27" s="43" t="str">
        <x:v>内容角度：前后对比；人工合成，仅用于功能验证</x:v>
      </x:c>
      <x:c r="Z27" s="43" t="str"/>
      <x:c r="AA27" s="46" t="n">
        <x:f>IFERROR((P27+Q27+R27+S27)/O27,0)</x:f>
        <x:v>0.09111704155547083</x:v>
      </x:c>
      <x:c r="AB27" s="46" t="n">
        <x:f>IF(OR(W27="",O27=0),"",W27/O27)</x:f>
        <x:v>0.029991104333460413</x:v>
      </x:c>
      <x:c r="AC27" s="46" t="n">
        <x:f>IF(OR(X27="",W27=0),"",X27/W27)</x:f>
        <x:v>0.059322033898305086</x:v>
      </x:c>
      <x:c r="AD27" s="47" t="str">
        <x:f>IF(J27="","",IF(J27&lt;=10,"≤10秒",IF(J27&lt;=20,"11—20秒",IF(J27&lt;=30,"21—30秒","&gt;30秒"))))</x:f>
        <x:v>&gt;30秒</x:v>
      </x:c>
      <x:c r="AE27" s="48" t="n">
        <x:f>(IF(A27&lt;&gt;"",1,0)+IF(D27&lt;&gt;"",1,0)+IF(O27&gt;0,1,0)+IF(OR(G27&lt;&gt;"",H27&lt;&gt;"",I27&lt;&gt;""),1,0)+IF(OR(T27&lt;&gt;"",U27&lt;&gt;"",V27&lt;&gt;""),1,0))/5</x:f>
        <x:v>1</x:v>
      </x:c>
      <x:c r="AF27" s="49" t="str">
        <x:f>IF(AE27=1,"可分析","需检查")</x:f>
        <x:v>可分析</x:v>
      </x:c>
    </x:row>
    <x:row r="28" ht="42" customHeight="1">
      <x:c r="A28" s="41" t="str">
        <x:v>TM024</x:v>
      </x:c>
      <x:c r="B28" s="42" t="str">
        <x:v>2026-07-29</x:v>
      </x:c>
      <x:c r="C28" s="43" t="str">
        <x:v>低糖燕麦脆</x:v>
      </x:c>
      <x:c r="D28" s="43" t="str">
        <x:v>食品饮料</x:v>
      </x:c>
      <x:c r="E28" s="43" t="str">
        <x:v>0-50元</x:v>
      </x:c>
      <x:c r="F28" s="43" t="str">
        <x:v>控糖人群</x:v>
      </x:c>
      <x:c r="G28" s="43" t="str">
        <x:v>低糖燕麦脆适合谁？一分钟说清</x:v>
      </x:c>
      <x:c r="H28" s="43" t="str">
        <x:v>如果你也遇到这个使用痛点，可以试试低糖燕麦脆。先做同价位对比，再突出商品差异点，最后提示价格与适用场景。</x:v>
      </x:c>
      <x:c r="I28" s="43" t="str">
        <x:v>如果你也遇到这个使用痛点，可以试试低糖燕麦脆</x:v>
      </x:c>
      <x:c r="J28" s="43" t="n">
        <x:v>16</x:v>
      </x:c>
      <x:c r="K28" s="43" t="str">
        <x:v>是</x:v>
      </x:c>
      <x:c r="L28" s="43" t="str">
        <x:v>是</x:v>
      </x:c>
      <x:c r="M28" s="43" t="str">
        <x:v>是</x:v>
      </x:c>
      <x:c r="N28" s="43" t="str">
        <x:v>否</x:v>
      </x:c>
      <x:c r="O28" s="44" t="n">
        <x:v>19117</x:v>
      </x:c>
      <x:c r="P28" s="44" t="n">
        <x:v>1185</x:v>
      </x:c>
      <x:c r="Q28" s="44" t="n">
        <x:v>84</x:v>
      </x:c>
      <x:c r="R28" s="44" t="n">
        <x:v>574</x:v>
      </x:c>
      <x:c r="S28" s="44" t="n">
        <x:v>134</x:v>
      </x:c>
      <x:c r="T28" s="45" t="n">
        <x:v>0.35</x:v>
      </x:c>
      <x:c r="U28" s="43" t="n">
        <x:v>12.1</x:v>
      </x:c>
      <x:c r="V28" s="45" t="n">
        <x:v>0.775</x:v>
      </x:c>
      <x:c r="W28" s="44" t="n">
        <x:v>688</x:v>
      </x:c>
      <x:c r="X28" s="44" t="n">
        <x:v>49</x:v>
      </x:c>
      <x:c r="Y28" s="43" t="str">
        <x:v>内容角度：场景种草；人工合成，仅用于功能验证</x:v>
      </x:c>
      <x:c r="Z28" s="43" t="str"/>
      <x:c r="AA28" s="46" t="n">
        <x:f>IFERROR((P28+Q28+R28+S28)/O28,0)</x:f>
        <x:v>0.10341580791965267</x:v>
      </x:c>
      <x:c r="AB28" s="46" t="n">
        <x:f>IF(OR(W28="",O28=0),"",W28/O28)</x:f>
        <x:v>0.03598891039389025</x:v>
      </x:c>
      <x:c r="AC28" s="46" t="n">
        <x:f>IF(OR(X28="",W28=0),"",X28/W28)</x:f>
        <x:v>0.07122093023255814</x:v>
      </x:c>
      <x:c r="AD28" s="47" t="str">
        <x:f>IF(J28="","",IF(J28&lt;=10,"≤10秒",IF(J28&lt;=20,"11—20秒",IF(J28&lt;=30,"21—30秒","&gt;30秒"))))</x:f>
        <x:v>11—20秒</x:v>
      </x:c>
      <x:c r="AE28" s="48" t="n">
        <x:f>(IF(A28&lt;&gt;"",1,0)+IF(D28&lt;&gt;"",1,0)+IF(O28&gt;0,1,0)+IF(OR(G28&lt;&gt;"",H28&lt;&gt;"",I28&lt;&gt;""),1,0)+IF(OR(T28&lt;&gt;"",U28&lt;&gt;"",V28&lt;&gt;""),1,0))/5</x:f>
        <x:v>1</x:v>
      </x:c>
      <x:c r="AF28" s="49" t="str">
        <x:f>IF(AE28=1,"可分析","需检查")</x:f>
        <x:v>可分析</x:v>
      </x:c>
    </x:row>
    <x:row r="29" ht="42" customHeight="1">
      <x:c r="A29" s="41" t="str">
        <x:v>TM025</x:v>
      </x:c>
      <x:c r="B29" s="42" t="str">
        <x:v>2026-07-30</x:v>
      </x:c>
      <x:c r="C29" s="43" t="str">
        <x:v>免手洗平板拖把</x:v>
      </x:c>
      <x:c r="D29" s="43" t="str">
        <x:v>家居日用</x:v>
      </x:c>
      <x:c r="E29" s="43" t="str">
        <x:v>50-100元</x:v>
      </x:c>
      <x:c r="F29" s="43" t="str">
        <x:v>租房青年</x:v>
      </x:c>
      <x:c r="G29" s="43" t="str">
        <x:v>免手洗平板拖把真实使用：值不值得买</x:v>
      </x:c>
      <x:c r="H29" s="43" t="str">
        <x:v>买免手洗平板拖把前，先看这个最容易忽略的细节。先展示消费痛点，再实拍商品核心功能，最后给出适用人群和购买提醒。</x:v>
      </x:c>
      <x:c r="I29" s="43" t="str">
        <x:v>买免手洗平板拖把前，先看这个最容易忽略的细节</x:v>
      </x:c>
      <x:c r="J29" s="43" t="n">
        <x:v>23</x:v>
      </x:c>
      <x:c r="K29" s="43" t="str">
        <x:v>是</x:v>
      </x:c>
      <x:c r="L29" s="43" t="str">
        <x:v>是</x:v>
      </x:c>
      <x:c r="M29" s="43" t="str">
        <x:v>是</x:v>
      </x:c>
      <x:c r="N29" s="43" t="str">
        <x:v>是</x:v>
      </x:c>
      <x:c r="O29" s="44" t="n">
        <x:v>22496</x:v>
      </x:c>
      <x:c r="P29" s="44" t="n">
        <x:v>720</x:v>
      </x:c>
      <x:c r="Q29" s="44" t="n">
        <x:v>45</x:v>
      </x:c>
      <x:c r="R29" s="44" t="n">
        <x:v>765</x:v>
      </x:c>
      <x:c r="S29" s="44" t="n">
        <x:v>90</x:v>
      </x:c>
      <x:c r="T29" s="45" t="n">
        <x:v>0.385</x:v>
      </x:c>
      <x:c r="U29" s="43" t="n">
        <x:v>7.2</x:v>
      </x:c>
      <x:c r="V29" s="45" t="n">
        <x:v>0.55</x:v>
      </x:c>
      <x:c r="W29" s="44" t="n">
        <x:v>945</x:v>
      </x:c>
      <x:c r="X29" s="44" t="n">
        <x:v>33</x:v>
      </x:c>
      <x:c r="Y29" s="43" t="str">
        <x:v>内容角度：痛点演示；人工合成，仅用于功能验证</x:v>
      </x:c>
      <x:c r="Z29" s="43" t="str"/>
      <x:c r="AA29" s="46" t="n">
        <x:f>IFERROR((P29+Q29+R29+S29)/O29,0)</x:f>
        <x:v>0.07201280227596017</x:v>
      </x:c>
      <x:c r="AB29" s="46" t="n">
        <x:f>IF(OR(W29="",O29=0),"",W29/O29)</x:f>
        <x:v>0.0420074679943101</x:v>
      </x:c>
      <x:c r="AC29" s="46" t="n">
        <x:f>IF(OR(X29="",W29=0),"",X29/W29)</x:f>
        <x:v>0.03492063492063492</x:v>
      </x:c>
      <x:c r="AD29" s="47" t="str">
        <x:f>IF(J29="","",IF(J29&lt;=10,"≤10秒",IF(J29&lt;=20,"11—20秒",IF(J29&lt;=30,"21—30秒","&gt;30秒"))))</x:f>
        <x:v>21—30秒</x:v>
      </x:c>
      <x:c r="AE29" s="48" t="n">
        <x:f>(IF(A29&lt;&gt;"",1,0)+IF(D29&lt;&gt;"",1,0)+IF(O29&gt;0,1,0)+IF(OR(G29&lt;&gt;"",H29&lt;&gt;"",I29&lt;&gt;""),1,0)+IF(OR(T29&lt;&gt;"",U29&lt;&gt;"",V29&lt;&gt;""),1,0))/5</x:f>
        <x:v>1</x:v>
      </x:c>
      <x:c r="AF29" s="49" t="str">
        <x:f>IF(AE29=1,"可分析","需检查")</x:f>
        <x:v>可分析</x:v>
      </x:c>
    </x:row>
    <x:row r="30" ht="42" customHeight="1">
      <x:c r="A30" s="41" t="str">
        <x:v>TM026</x:v>
      </x:c>
      <x:c r="B30" s="42" t="str">
        <x:v>2026-07-31</x:v>
      </x:c>
      <x:c r="C30" s="43" t="str">
        <x:v>厨房去油湿巾</x:v>
      </x:c>
      <x:c r="D30" s="43" t="str">
        <x:v>家居日用</x:v>
      </x:c>
      <x:c r="E30" s="43" t="str">
        <x:v>0-50元</x:v>
      </x:c>
      <x:c r="F30" s="43" t="str">
        <x:v>家庭用户</x:v>
      </x:c>
      <x:c r="G30" s="43" t="str">
        <x:v>厨房去油湿巾三个细节实拍</x:v>
      </x:c>
      <x:c r="H30" s="43" t="str">
        <x:v>同价位对比后，我为什么留下这款厨房去油湿巾。从日常使用场景切入，演示三步操作，并展示使用前后差异。</x:v>
      </x:c>
      <x:c r="I30" s="43" t="str">
        <x:v>同价位对比后，我为什么留下这款厨房去油湿巾</x:v>
      </x:c>
      <x:c r="J30" s="43" t="n">
        <x:v>30</x:v>
      </x:c>
      <x:c r="K30" s="43" t="str">
        <x:v>是</x:v>
      </x:c>
      <x:c r="L30" s="43" t="str">
        <x:v>是</x:v>
      </x:c>
      <x:c r="M30" s="43" t="str">
        <x:v>是</x:v>
      </x:c>
      <x:c r="N30" s="43" t="str">
        <x:v>否</x:v>
      </x:c>
      <x:c r="O30" s="44" t="n">
        <x:v>25875</x:v>
      </x:c>
      <x:c r="P30" s="44" t="n">
        <x:v>983</x:v>
      </x:c>
      <x:c r="Q30" s="44" t="n">
        <x:v>72</x:v>
      </x:c>
      <x:c r="R30" s="44" t="n">
        <x:v>466</x:v>
      </x:c>
      <x:c r="S30" s="44" t="n">
        <x:v>142</x:v>
      </x:c>
      <x:c r="T30" s="45" t="n">
        <x:v>0.42</x:v>
      </x:c>
      <x:c r="U30" s="43" t="n">
        <x:v>7.9</x:v>
      </x:c>
      <x:c r="V30" s="45" t="n">
        <x:v>0.595</x:v>
      </x:c>
      <x:c r="W30" s="44" t="n">
        <x:v>466</x:v>
      </x:c>
      <x:c r="X30" s="44" t="n">
        <x:v>22</x:v>
      </x:c>
      <x:c r="Y30" s="43" t="str">
        <x:v>内容角度：使用教程；人工合成，仅用于功能验证</x:v>
      </x:c>
      <x:c r="Z30" s="43" t="str"/>
      <x:c r="AA30" s="46" t="n">
        <x:f>IFERROR((P30+Q30+R30+S30)/O30,0)</x:f>
        <x:v>0.06427053140096618</x:v>
      </x:c>
      <x:c r="AB30" s="46" t="n">
        <x:f>IF(OR(W30="",O30=0),"",W30/O30)</x:f>
        <x:v>0.018009661835748793</x:v>
      </x:c>
      <x:c r="AC30" s="46" t="n">
        <x:f>IF(OR(X30="",W30=0),"",X30/W30)</x:f>
        <x:v>0.04721030042918455</x:v>
      </x:c>
      <x:c r="AD30" s="47" t="str">
        <x:f>IF(J30="","",IF(J30&lt;=10,"≤10秒",IF(J30&lt;=20,"11—20秒",IF(J30&lt;=30,"21—30秒","&gt;30秒"))))</x:f>
        <x:v>21—30秒</x:v>
      </x:c>
      <x:c r="AE30" s="48" t="n">
        <x:f>(IF(A30&lt;&gt;"",1,0)+IF(D30&lt;&gt;"",1,0)+IF(O30&gt;0,1,0)+IF(OR(G30&lt;&gt;"",H30&lt;&gt;"",I30&lt;&gt;""),1,0)+IF(OR(T30&lt;&gt;"",U30&lt;&gt;"",V30&lt;&gt;""),1,0))/5</x:f>
        <x:v>1</x:v>
      </x:c>
      <x:c r="AF30" s="49" t="str">
        <x:f>IF(AE30=1,"可分析","需检查")</x:f>
        <x:v>可分析</x:v>
      </x:c>
    </x:row>
    <x:row r="31" ht="42" customHeight="1">
      <x:c r="A31" s="41" t="str">
        <x:v>TM027</x:v>
      </x:c>
      <x:c r="B31" s="42" t="str">
        <x:v>2026-08-01</x:v>
      </x:c>
      <x:c r="C31" s="43" t="str">
        <x:v>冰丝防晒衬衫</x:v>
      </x:c>
      <x:c r="D31" s="43" t="str">
        <x:v>服饰配件</x:v>
      </x:c>
      <x:c r="E31" s="43" t="str">
        <x:v>100-200元</x:v>
      </x:c>
      <x:c r="F31" s="43" t="str">
        <x:v>年轻女性</x:v>
      </x:c>
      <x:c r="G31" s="43" t="str">
        <x:v>用了7天冰丝防晒衬衫，最明显的变化</x:v>
      </x:c>
      <x:c r="H31" s="43" t="str">
        <x:v>别只看宣传图，冰丝防晒衬衫真实使用效果在这里。开头直接展示结果，中段拆解材质与功能，结尾总结优缺点。</x:v>
      </x:c>
      <x:c r="I31" s="43" t="str">
        <x:v>别只看宣传图，冰丝防晒衬衫真实使用效果在这里</x:v>
      </x:c>
      <x:c r="J31" s="43" t="n">
        <x:v>37</x:v>
      </x:c>
      <x:c r="K31" s="43" t="str">
        <x:v>否</x:v>
      </x:c>
      <x:c r="L31" s="43" t="str">
        <x:v>是</x:v>
      </x:c>
      <x:c r="M31" s="43" t="str">
        <x:v>是</x:v>
      </x:c>
      <x:c r="N31" s="43" t="str">
        <x:v>否</x:v>
      </x:c>
      <x:c r="O31" s="44" t="n">
        <x:v>7454</x:v>
      </x:c>
      <x:c r="P31" s="44" t="n">
        <x:v>328</x:v>
      </x:c>
      <x:c r="Q31" s="44" t="n">
        <x:v>27</x:v>
      </x:c>
      <x:c r="R31" s="44" t="n">
        <x:v>164</x:v>
      </x:c>
      <x:c r="S31" s="44" t="n">
        <x:v>52</x:v>
      </x:c>
      <x:c r="T31" s="45" t="n">
        <x:v>0.455</x:v>
      </x:c>
      <x:c r="U31" s="43" t="n">
        <x:v>8.6</x:v>
      </x:c>
      <x:c r="V31" s="45" t="n">
        <x:v>0.64</x:v>
      </x:c>
      <x:c r="W31" s="44" t="n">
        <x:v>179</x:v>
      </x:c>
      <x:c r="X31" s="44" t="n">
        <x:v>11</x:v>
      </x:c>
      <x:c r="Y31" s="43" t="str">
        <x:v>内容角度：前后对比；人工合成，仅用于功能验证</x:v>
      </x:c>
      <x:c r="Z31" s="43" t="str"/>
      <x:c r="AA31" s="46" t="n">
        <x:f>IFERROR((P31+Q31+R31+S31)/O31,0)</x:f>
        <x:v>0.07660316608532332</x:v>
      </x:c>
      <x:c r="AB31" s="46" t="n">
        <x:f>IF(OR(W31="",O31=0),"",W31/O31)</x:f>
        <x:v>0.024013952240407834</x:v>
      </x:c>
      <x:c r="AC31" s="46" t="n">
        <x:f>IF(OR(X31="",W31=0),"",X31/W31)</x:f>
        <x:v>0.061452513966480445</x:v>
      </x:c>
      <x:c r="AD31" s="47" t="str">
        <x:f>IF(J31="","",IF(J31&lt;=10,"≤10秒",IF(J31&lt;=20,"11—20秒",IF(J31&lt;=30,"21—30秒","&gt;30秒"))))</x:f>
        <x:v>&gt;30秒</x:v>
      </x:c>
      <x:c r="AE31" s="48" t="n">
        <x:f>(IF(A31&lt;&gt;"",1,0)+IF(D31&lt;&gt;"",1,0)+IF(O31&gt;0,1,0)+IF(OR(G31&lt;&gt;"",H31&lt;&gt;"",I31&lt;&gt;""),1,0)+IF(OR(T31&lt;&gt;"",U31&lt;&gt;"",V31&lt;&gt;""),1,0))/5</x:f>
        <x:v>1</x:v>
      </x:c>
      <x:c r="AF31" s="49" t="str">
        <x:f>IF(AE31=1,"可分析","需检查")</x:f>
        <x:v>可分析</x:v>
      </x:c>
    </x:row>
    <x:row r="32" ht="42" customHeight="1">
      <x:c r="A32" s="41" t="str">
        <x:v>TM028</x:v>
      </x:c>
      <x:c r="B32" s="42" t="str">
        <x:v>2026-08-02</x:v>
      </x:c>
      <x:c r="C32" s="43" t="str">
        <x:v>通勤托特包</x:v>
      </x:c>
      <x:c r="D32" s="43" t="str">
        <x:v>服饰配件</x:v>
      </x:c>
      <x:c r="E32" s="43" t="str">
        <x:v>100-200元</x:v>
      </x:c>
      <x:c r="F32" s="43" t="str">
        <x:v>职场女性</x:v>
      </x:c>
      <x:c r="G32" s="43" t="str">
        <x:v>通勤托特包适合谁？一分钟说清</x:v>
      </x:c>
      <x:c r="H32" s="43" t="str">
        <x:v>如果你也遇到这个使用痛点，可以试试通勤托特包。先做同价位对比，再突出商品差异点，最后提示价格与适用场景。</x:v>
      </x:c>
      <x:c r="I32" s="43" t="str">
        <x:v>如果你也遇到这个使用痛点，可以试试通勤托特包</x:v>
      </x:c>
      <x:c r="J32" s="43" t="n">
        <x:v>21</x:v>
      </x:c>
      <x:c r="K32" s="43" t="str">
        <x:v>是</x:v>
      </x:c>
      <x:c r="L32" s="43" t="str">
        <x:v>是</x:v>
      </x:c>
      <x:c r="M32" s="43" t="str">
        <x:v>是</x:v>
      </x:c>
      <x:c r="N32" s="43" t="str">
        <x:v>是</x:v>
      </x:c>
      <x:c r="O32" s="44" t="n">
        <x:v>10833</x:v>
      </x:c>
      <x:c r="P32" s="44" t="n">
        <x:v>542</x:v>
      </x:c>
      <x:c r="Q32" s="44" t="n">
        <x:v>48</x:v>
      </x:c>
      <x:c r="R32" s="44" t="n">
        <x:v>282</x:v>
      </x:c>
      <x:c r="S32" s="44" t="n">
        <x:v>43</x:v>
      </x:c>
      <x:c r="T32" s="45" t="n">
        <x:v>0.49</x:v>
      </x:c>
      <x:c r="U32" s="43" t="n">
        <x:v>9.3</x:v>
      </x:c>
      <x:c r="V32" s="45" t="n">
        <x:v>0.685</x:v>
      </x:c>
      <x:c r="W32" s="44" t="n">
        <x:v>325</x:v>
      </x:c>
      <x:c r="X32" s="44" t="n">
        <x:v>23</x:v>
      </x:c>
      <x:c r="Y32" s="43" t="str">
        <x:v>内容角度：场景种草；人工合成，仅用于功能验证</x:v>
      </x:c>
      <x:c r="Z32" s="43" t="str"/>
      <x:c r="AA32" s="46" t="n">
        <x:f>IFERROR((P32+Q32+R32+S32)/O32,0)</x:f>
        <x:v>0.08446413735807255</x:v>
      </x:c>
      <x:c r="AB32" s="46" t="n">
        <x:f>IF(OR(W32="",O32=0),"",W32/O32)</x:f>
        <x:v>0.03000092310532632</x:v>
      </x:c>
      <x:c r="AC32" s="46" t="n">
        <x:f>IF(OR(X32="",W32=0),"",X32/W32)</x:f>
        <x:v>0.07076923076923076</x:v>
      </x:c>
      <x:c r="AD32" s="47" t="str">
        <x:f>IF(J32="","",IF(J32&lt;=10,"≤10秒",IF(J32&lt;=20,"11—20秒",IF(J32&lt;=30,"21—30秒","&gt;30秒"))))</x:f>
        <x:v>21—30秒</x:v>
      </x:c>
      <x:c r="AE32" s="48" t="n">
        <x:f>(IF(A32&lt;&gt;"",1,0)+IF(D32&lt;&gt;"",1,0)+IF(O32&gt;0,1,0)+IF(OR(G32&lt;&gt;"",H32&lt;&gt;"",I32&lt;&gt;""),1,0)+IF(OR(T32&lt;&gt;"",U32&lt;&gt;"",V32&lt;&gt;""),1,0))/5</x:f>
        <x:v>1</x:v>
      </x:c>
      <x:c r="AF32" s="49" t="str">
        <x:f>IF(AE32=1,"可分析","需检查")</x:f>
        <x:v>可分析</x:v>
      </x:c>
    </x:row>
    <x:row r="33" ht="42" customHeight="1">
      <x:c r="A33" s="41" t="str">
        <x:v>TM029</x:v>
      </x:c>
      <x:c r="B33" s="42" t="str">
        <x:v>2026-08-03</x:v>
      </x:c>
      <x:c r="C33" s="43" t="str">
        <x:v>磁吸充电宝</x:v>
      </x:c>
      <x:c r="D33" s="43" t="str">
        <x:v>数码配件</x:v>
      </x:c>
      <x:c r="E33" s="43" t="str">
        <x:v>100-200元</x:v>
      </x:c>
      <x:c r="F33" s="43" t="str">
        <x:v>手机重度用户</x:v>
      </x:c>
      <x:c r="G33" s="43" t="str">
        <x:v>磁吸充电宝真实使用：值不值得买</x:v>
      </x:c>
      <x:c r="H33" s="43" t="str">
        <x:v>买磁吸充电宝前，先看这个最容易忽略的细节。先展示消费痛点，再实拍商品核心功能，最后给出适用人群和购买提醒。</x:v>
      </x:c>
      <x:c r="I33" s="43" t="str">
        <x:v>买磁吸充电宝前，先看这个最容易忽略的细节</x:v>
      </x:c>
      <x:c r="J33" s="43" t="n">
        <x:v>28</x:v>
      </x:c>
      <x:c r="K33" s="43" t="str">
        <x:v>是</x:v>
      </x:c>
      <x:c r="L33" s="43" t="str">
        <x:v>是</x:v>
      </x:c>
      <x:c r="M33" s="43" t="str">
        <x:v>是</x:v>
      </x:c>
      <x:c r="N33" s="43" t="str">
        <x:v>否</x:v>
      </x:c>
      <x:c r="O33" s="44" t="n">
        <x:v>14212</x:v>
      </x:c>
      <x:c r="P33" s="44" t="n">
        <x:v>796</x:v>
      </x:c>
      <x:c r="Q33" s="44" t="n">
        <x:v>28</x:v>
      </x:c>
      <x:c r="R33" s="44" t="n">
        <x:v>426</x:v>
      </x:c>
      <x:c r="S33" s="44" t="n">
        <x:v>78</x:v>
      </x:c>
      <x:c r="T33" s="45" t="n">
        <x:v>0.28</x:v>
      </x:c>
      <x:c r="U33" s="43" t="n">
        <x:v>10</x:v>
      </x:c>
      <x:c r="V33" s="45" t="n">
        <x:v>0.73</x:v>
      </x:c>
      <x:c r="W33" s="44" t="n">
        <x:v>512</x:v>
      </x:c>
      <x:c r="X33" s="44" t="n">
        <x:v>18</x:v>
      </x:c>
      <x:c r="Y33" s="43" t="str">
        <x:v>内容角度：痛点演示；人工合成，仅用于功能验证</x:v>
      </x:c>
      <x:c r="Z33" s="43" t="str"/>
      <x:c r="AA33" s="46" t="n">
        <x:f>IFERROR((P33+Q33+R33+S33)/O33,0)</x:f>
        <x:v>0.09344216155361666</x:v>
      </x:c>
      <x:c r="AB33" s="46" t="n">
        <x:f>IF(OR(W33="",O33=0),"",W33/O33)</x:f>
        <x:v>0.03602589361103293</x:v>
      </x:c>
      <x:c r="AC33" s="46" t="n">
        <x:f>IF(OR(X33="",W33=0),"",X33/W33)</x:f>
        <x:v>0.03515625</x:v>
      </x:c>
      <x:c r="AD33" s="47" t="str">
        <x:f>IF(J33="","",IF(J33&lt;=10,"≤10秒",IF(J33&lt;=20,"11—20秒",IF(J33&lt;=30,"21—30秒","&gt;30秒"))))</x:f>
        <x:v>21—30秒</x:v>
      </x:c>
      <x:c r="AE33" s="48" t="n">
        <x:f>(IF(A33&lt;&gt;"",1,0)+IF(D33&lt;&gt;"",1,0)+IF(O33&gt;0,1,0)+IF(OR(G33&lt;&gt;"",H33&lt;&gt;"",I33&lt;&gt;""),1,0)+IF(OR(T33&lt;&gt;"",U33&lt;&gt;"",V33&lt;&gt;""),1,0))/5</x:f>
        <x:v>1</x:v>
      </x:c>
      <x:c r="AF33" s="49" t="str">
        <x:f>IF(AE33=1,"可分析","需检查")</x:f>
        <x:v>可分析</x:v>
      </x:c>
    </x:row>
    <x:row r="34" ht="42" customHeight="1">
      <x:c r="A34" s="41" t="str">
        <x:v>TM030</x:v>
      </x:c>
      <x:c r="B34" s="42" t="str">
        <x:v>2026-08-04</x:v>
      </x:c>
      <x:c r="C34" s="43" t="str">
        <x:v>开放式蓝牙耳机</x:v>
      </x:c>
      <x:c r="D34" s="43" t="str">
        <x:v>数码配件</x:v>
      </x:c>
      <x:c r="E34" s="43" t="str">
        <x:v>200元以上</x:v>
      </x:c>
      <x:c r="F34" s="43" t="str">
        <x:v>运动人群</x:v>
      </x:c>
      <x:c r="G34" s="43" t="str">
        <x:v>开放式蓝牙耳机三个细节实拍</x:v>
      </x:c>
      <x:c r="H34" s="43" t="str">
        <x:v>同价位对比后，我为什么留下这款开放式蓝牙耳机。从日常使用场景切入，演示三步操作，并展示使用前后差异。</x:v>
      </x:c>
      <x:c r="I34" s="43" t="str">
        <x:v>同价位对比后，我为什么留下这款开放式蓝牙耳机</x:v>
      </x:c>
      <x:c r="J34" s="43" t="n">
        <x:v>35</x:v>
      </x:c>
      <x:c r="K34" s="43" t="str">
        <x:v>是</x:v>
      </x:c>
      <x:c r="L34" s="43" t="str">
        <x:v>是</x:v>
      </x:c>
      <x:c r="M34" s="43" t="str">
        <x:v>是</x:v>
      </x:c>
      <x:c r="N34" s="43" t="str">
        <x:v>否</x:v>
      </x:c>
      <x:c r="O34" s="44" t="n">
        <x:v>17591</x:v>
      </x:c>
      <x:c r="P34" s="44" t="n">
        <x:v>1091</x:v>
      </x:c>
      <x:c r="Q34" s="44" t="n">
        <x:v>49</x:v>
      </x:c>
      <x:c r="R34" s="44" t="n">
        <x:v>598</x:v>
      </x:c>
      <x:c r="S34" s="44" t="n">
        <x:v>123</x:v>
      </x:c>
      <x:c r="T34" s="45" t="n">
        <x:v>0.315</x:v>
      </x:c>
      <x:c r="U34" s="43" t="n">
        <x:v>10.7</x:v>
      </x:c>
      <x:c r="V34" s="45" t="n">
        <x:v>0.775</x:v>
      </x:c>
      <x:c r="W34" s="44" t="n">
        <x:v>739</x:v>
      </x:c>
      <x:c r="X34" s="44" t="n">
        <x:v>35</x:v>
      </x:c>
      <x:c r="Y34" s="43" t="str">
        <x:v>内容角度：使用教程；人工合成，仅用于功能验证</x:v>
      </x:c>
      <x:c r="Z34" s="43" t="str"/>
      <x:c r="AA34" s="46" t="n">
        <x:f>IFERROR((P34+Q34+R34+S34)/O34,0)</x:f>
        <x:v>0.10579273492126656</x:v>
      </x:c>
      <x:c r="AB34" s="46" t="n">
        <x:f>IF(OR(W34="",O34=0),"",W34/O34)</x:f>
        <x:v>0.0420101188107555</x:v>
      </x:c>
      <x:c r="AC34" s="46" t="n">
        <x:f>IF(OR(X34="",W34=0),"",X34/W34)</x:f>
        <x:v>0.04736129905277402</x:v>
      </x:c>
      <x:c r="AD34" s="47" t="str">
        <x:f>IF(J34="","",IF(J34&lt;=10,"≤10秒",IF(J34&lt;=20,"11—20秒",IF(J34&lt;=30,"21—30秒","&gt;30秒"))))</x:f>
        <x:v>&gt;30秒</x:v>
      </x:c>
      <x:c r="AE34" s="48" t="n">
        <x:f>(IF(A34&lt;&gt;"",1,0)+IF(D34&lt;&gt;"",1,0)+IF(O34&gt;0,1,0)+IF(OR(G34&lt;&gt;"",H34&lt;&gt;"",I34&lt;&gt;""),1,0)+IF(OR(T34&lt;&gt;"",U34&lt;&gt;"",V34&lt;&gt;""),1,0))/5</x:f>
        <x:v>1</x:v>
      </x:c>
      <x:c r="AF34" s="49" t="str">
        <x:f>IF(AE34=1,"可分析","需检查")</x:f>
        <x:v>可分析</x:v>
      </x:c>
    </x:row>
    <x:row r="35" ht="42" customHeight="1">
      <x:c r="A35" s="50" t="str">
        <x:v>TM031</x:v>
      </x:c>
      <x:c r="B35" s="51" t="str">
        <x:v>2026-08-05</x:v>
      </x:c>
      <x:c r="C35" s="52" t="str">
        <x:v>轻盈防晒乳</x:v>
      </x:c>
      <x:c r="D35" s="52" t="str">
        <x:v>美妆个护</x:v>
      </x:c>
      <x:c r="E35" s="52" t="str">
        <x:v>50-100元</x:v>
      </x:c>
      <x:c r="F35" s="52" t="str">
        <x:v>通勤女性</x:v>
      </x:c>
      <x:c r="G35" s="52" t="str">
        <x:v>用了7天轻盈防晒乳，最明显的变化</x:v>
      </x:c>
      <x:c r="H35" s="52" t="str">
        <x:v>别只看宣传图，轻盈防晒乳真实使用效果在这里。开头直接展示结果，中段拆解材质与功能，结尾总结优缺点。</x:v>
      </x:c>
      <x:c r="I35" s="52" t="str">
        <x:v>别只看宣传图，轻盈防晒乳真实使用效果在这里</x:v>
      </x:c>
      <x:c r="J35" s="52" t="n">
        <x:v>19</x:v>
      </x:c>
      <x:c r="K35" s="52" t="str">
        <x:v>否</x:v>
      </x:c>
      <x:c r="L35" s="52" t="str">
        <x:v>是</x:v>
      </x:c>
      <x:c r="M35" s="52" t="str">
        <x:v>是</x:v>
      </x:c>
      <x:c r="N35" s="52" t="str">
        <x:v>是</x:v>
      </x:c>
      <x:c r="O35" s="53" t="n">
        <x:v>20970</x:v>
      </x:c>
      <x:c r="P35" s="53" t="n">
        <x:v>671</x:v>
      </x:c>
      <x:c r="Q35" s="53" t="n">
        <x:v>75</x:v>
      </x:c>
      <x:c r="R35" s="53" t="n">
        <x:v>377</x:v>
      </x:c>
      <x:c r="S35" s="53" t="n">
        <x:v>84</x:v>
      </x:c>
      <x:c r="T35" s="54" t="n">
        <x:v>0.35</x:v>
      </x:c>
      <x:c r="U35" s="52" t="n">
        <x:v>11.4</x:v>
      </x:c>
      <x:c r="V35" s="54" t="n">
        <x:v>0.55</x:v>
      </x:c>
      <x:c r="W35" s="53" t="n">
        <x:v>377</x:v>
      </x:c>
      <x:c r="X35" s="53" t="n">
        <x:v>22</x:v>
      </x:c>
      <x:c r="Y35" s="52" t="str">
        <x:v>内容角度：前后对比；人工合成，仅用于功能验证</x:v>
      </x:c>
      <x:c r="Z35" s="52" t="str"/>
      <x:c r="AA35" s="55" t="n">
        <x:f>IFERROR((P35+Q35+R35+S35)/O35,0)</x:f>
        <x:v>0.057558416785884595</x:v>
      </x:c>
      <x:c r="AB35" s="55" t="n">
        <x:f>IF(OR(W35="",O35=0),"",W35/O35)</x:f>
        <x:v>0.017978063900810682</x:v>
      </x:c>
      <x:c r="AC35" s="55" t="n">
        <x:f>IF(OR(X35="",W35=0),"",X35/W35)</x:f>
        <x:v>0.058355437665782495</x:v>
      </x:c>
      <x:c r="AD35" s="56" t="str">
        <x:f>IF(J35="","",IF(J35&lt;=10,"≤10秒",IF(J35&lt;=20,"11—20秒",IF(J35&lt;=30,"21—30秒","&gt;30秒"))))</x:f>
        <x:v>11—20秒</x:v>
      </x:c>
      <x:c r="AE35" s="57" t="n">
        <x:f>(IF(A35&lt;&gt;"",1,0)+IF(D35&lt;&gt;"",1,0)+IF(O35&gt;0,1,0)+IF(OR(G35&lt;&gt;"",H35&lt;&gt;"",I35&lt;&gt;""),1,0)+IF(OR(T35&lt;&gt;"",U35&lt;&gt;"",V35&lt;&gt;""),1,0))/5</x:f>
        <x:v>1</x:v>
      </x:c>
      <x:c r="AF35" s="58" t="str">
        <x:f>IF(AE35=1,"可分析","需检查")</x:f>
        <x:v>可分析</x:v>
      </x:c>
    </x:row>
  </x:sheetData>
  <x:mergeCells>
    <x:mergeCell ref="A1:AF2"/>
    <x:mergeCell ref="A3:Z3"/>
    <x:mergeCell ref="AA3:AF3"/>
  </x:mergeCells>
  <x:pageMargins left="0.7" right="0.7" top="0.75" bottom="0.75" header="0.3" footer="0.3"/>
  <x:tableParts count="1">
    <x:tablePart xmlns:r="http://schemas.openxmlformats.org/officeDocument/2006/relationships" r:id="Rf04142d4c4c04fdd"/>
  </x:tableParts>
</x:worksheet>
</file>
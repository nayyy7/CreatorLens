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5b5cab47834f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演示数据" sheetId="1" r:id="R7099d17f8d794f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%"/>
    <x:numFmt numFmtId="202" formatCode="#,##0"/>
    <x:numFmt numFmtId="203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5A00"/>
      <x:name val="Carlito"/>
    </x:font>
    <x:font>
      <x:b/>
      <x:sz val="11"/>
      <x:color rgb="FF5B6472"/>
      <x:name val="Carlito"/>
    </x:font>
    <x:font>
      <x:b/>
      <x:sz val="9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FF4CC"/>
      </x:patternFill>
    </x:fill>
    <x:fill>
      <x:patternFill patternType="solid">
        <x:fgColor rgb="FFE7EAF0"/>
      </x:patternFill>
    </x:fill>
    <x:fill>
      <x:patternFill patternType="solid">
        <x:fgColor rgb="FF24446F"/>
      </x:patternFill>
    </x:fill>
    <x:fill>
      <x:patternFill patternType="solid">
        <x:fgColor rgb="FF16A39A"/>
      </x:patternFill>
    </x:fill>
    <x:fill>
      <x:patternFill patternType="solid">
        <x:fgColor rgb="FFFFF9E8"/>
      </x:patternFill>
    </x:fill>
    <x:fill>
      <x:patternFill patternType="solid">
        <x:fgColor rgb="FFEEF2F7"/>
      </x:patternFill>
    </x:fill>
    <x:fill>
      <x:patternFill patternType="solid">
        <x:fgColor rgb="FFE7F7EF"/>
      </x:patternFill>
    </x:fill>
  </x:fills>
  <x:borders count="10">
    <x:border/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8" borderId="5" xfId="0" applyNumberFormat="1" applyFont="1" applyFill="1" applyBorder="1"/>
    <x:xf numFmtId="0" fontId="0" fillId="9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8" borderId="8" xfId="0" applyNumberFormat="1" applyFont="1" applyFill="1" applyBorder="1"/>
    <x:xf numFmtId="0" fontId="0" fillId="9" borderId="9" xfId="0" applyNumberFormat="1" applyFont="1" applyFill="1" applyBorder="1"/>
    <x:xf numFmtId="200" fontId="0" fillId="7" borderId="5" xfId="0" applyNumberFormat="1" applyFont="1" applyFill="1" applyBorder="1"/>
    <x:xf numFmtId="200" fontId="0" fillId="7" borderId="8" xfId="0" applyNumberFormat="1" applyFont="1" applyFill="1" applyBorder="1"/>
    <x:xf numFmtId="200" fontId="0" fillId="8" borderId="5" xfId="0" applyNumberFormat="1" applyFont="1" applyFill="1" applyBorder="1"/>
    <x:xf numFmtId="200" fontId="0" fillId="8" borderId="8" xfId="0" applyNumberFormat="1" applyFont="1" applyFill="1" applyBorder="1"/>
    <x:xf numFmtId="201" fontId="0" fillId="8" borderId="5" xfId="0" applyNumberFormat="1" applyFont="1" applyFill="1" applyBorder="1"/>
    <x:xf numFmtId="201" fontId="0" fillId="8" borderId="8" xfId="0" applyNumberFormat="1" applyFont="1" applyFill="1" applyBorder="1"/>
    <x:xf numFmtId="202" fontId="0" fillId="7" borderId="5" xfId="0" applyNumberFormat="1" applyFont="1" applyFill="1" applyBorder="1"/>
    <x:xf numFmtId="202" fontId="0" fillId="7" borderId="8" xfId="0" applyNumberFormat="1" applyFont="1" applyFill="1" applyBorder="1"/>
    <x:xf numFmtId="203" fontId="0" fillId="7" borderId="5" xfId="0" applyNumberFormat="1" applyFont="1" applyFill="1" applyBorder="1"/>
    <x:xf numFmtId="203" fontId="0" fillId="7" borderId="8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203" fontId="0" fillId="7" borderId="5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202" fontId="0" fillId="7" borderId="5" xfId="0" applyNumberFormat="1" applyFont="1" applyFill="1" applyBorder="1" applyAlignment="1">
      <x:alignment wrapText="1"/>
    </x:xf>
    <x:xf numFmtId="200" fontId="0" fillId="7" borderId="5" xfId="0" applyNumberFormat="1" applyFont="1" applyFill="1" applyBorder="1" applyAlignment="1">
      <x:alignment wrapText="1"/>
    </x:xf>
    <x:xf numFmtId="200" fontId="0" fillId="8" borderId="5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201" fontId="0" fillId="8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3" fontId="0" fillId="7" borderId="8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202" fontId="0" fillId="7" borderId="8" xfId="0" applyNumberFormat="1" applyFont="1" applyFill="1" applyBorder="1" applyAlignment="1">
      <x:alignment wrapText="1"/>
    </x:xf>
    <x:xf numFmtId="200" fontId="0" fillId="7" borderId="8" xfId="0" applyNumberFormat="1" applyFont="1" applyFill="1" applyBorder="1" applyAlignment="1">
      <x:alignment wrapText="1"/>
    </x:xf>
    <x:xf numFmtId="200" fontId="0" fillId="8" borderId="8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201" fontId="0" fillId="8" borderId="8" xfId="0" applyNumberFormat="1" applyFont="1" applyFill="1" applyBorder="1" applyAlignment="1">
      <x:alignment wrapText="1"/>
    </x:xf>
    <x:xf numFmtId="0" fontId="0" fillId="9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12a905ae04c03" /><Relationship Type="http://schemas.openxmlformats.org/officeDocument/2006/relationships/theme" Target="/xl/theme/theme1.xml" Id="R1f3d345412ca46b5" /><Relationship Type="http://schemas.openxmlformats.org/officeDocument/2006/relationships/sharedStrings" Target="/xl/sharedStrings.xml" Id="R73c3622cfb824bf1" /><Relationship Type="http://schemas.openxmlformats.org/officeDocument/2006/relationships/worksheet" Target="/xl/worksheets/sheet1.xml" Id="R7099d17f8d794fed" /></Relationships>
</file>

<file path=xl/tables/table1.xml><?xml version="1.0" encoding="utf-8"?>
<x:table xmlns:x="http://schemas.openxmlformats.org/spreadsheetml/2006/main" id="1" name="Data_CreatorLens_Warning_Duplicate_Video_ID_xlsx" displayName="Data_CreatorLens_Warning_Duplicate_Video_ID_xlsx" ref="A4:AF16" headerRowCount="1" totalsRowCount="0" totalsRowShown="0">
  <x:tableColumns count="32">
    <x:tableColumn id="1" name="video_id"/>
    <x:tableColumn id="2" name="publish_date"/>
    <x:tableColumn id="3" name="product_name"/>
    <x:tableColumn id="4" name="category"/>
    <x:tableColumn id="5" name="price_band"/>
    <x:tableColumn id="6" name="target_audience"/>
    <x:tableColumn id="7" name="title"/>
    <x:tableColumn id="8" name="script_or_subtitle"/>
    <x:tableColumn id="9" name="hook_text"/>
    <x:tableColumn id="10" name="duration_seconds"/>
    <x:tableColumn id="11" name="person_on_camera"/>
    <x:tableColumn id="12" name="scene_demo"/>
    <x:tableColumn id="13" name="product_closeup"/>
    <x:tableColumn id="14" name="before_after"/>
    <x:tableColumn id="15" name="views"/>
    <x:tableColumn id="16" name="likes"/>
    <x:tableColumn id="17" name="comments"/>
    <x:tableColumn id="18" name="favorites"/>
    <x:tableColumn id="19" name="shares"/>
    <x:tableColumn id="20" name="completion_rate"/>
    <x:tableColumn id="21" name="avg_watch_time_seconds"/>
    <x:tableColumn id="22" name="five_sec_retention"/>
    <x:tableColumn id="23" name="product_clicks"/>
    <x:tableColumn id="24" name="orders"/>
    <x:tableColumn id="25" name="notes"/>
    <x:tableColumn id="26" name="source_url"/>
    <x:tableColumn id="27" name="engagement_rate"/>
    <x:tableColumn id="28" name="product_click_rate"/>
    <x:tableColumn id="29" name="conversion_rate"/>
    <x:tableColumn id="30" name="duration_band"/>
    <x:tableColumn id="31" name="data_quality_score"/>
    <x:tableColumn id="32" name="record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814dba96d4b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8" hidden="0" customWidth="1"/>
    <x:col min="8" max="8" width="48" hidden="0" customWidth="1"/>
    <x:col min="9" max="9" width="3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28" hidden="0" customWidth="1"/>
    <x:col min="26" max="26" width="2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</x:cols>
  <x:sheetData>
    <x:row r="1">
      <x:c r="A1" s="3" t="str">
        <x:v>CreatorLens · 警告测试：重复 video_id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</x:row>
    <x:row r="3">
      <x:c r="A3" s="6" t="str">
        <x:v>第 9 条与第 4 条 video_id 相同；预期保留后一条、产生警告，去重后有效记录 11 条。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9" t="str">
        <x:v>系统字段：上传后应由服务端重新计算</x:v>
      </x:c>
      <x:c r="AB3" s="9"/>
      <x:c r="AC3" s="9"/>
      <x:c r="AD3" s="9"/>
      <x:c r="AE3" s="9"/>
      <x:c r="AF3" s="9"/>
    </x:row>
    <x:row r="4" ht="48" customHeight="1">
      <x:c r="A4" s="19" t="str">
        <x:v>video_id</x:v>
      </x:c>
      <x:c r="B4" s="20" t="str">
        <x:v>publish_date</x:v>
      </x:c>
      <x:c r="C4" s="20" t="str">
        <x:v>product_name</x:v>
      </x:c>
      <x:c r="D4" s="20" t="str">
        <x:v>category</x:v>
      </x:c>
      <x:c r="E4" s="20" t="str">
        <x:v>price_band</x:v>
      </x:c>
      <x:c r="F4" s="20" t="str">
        <x:v>target_audience</x:v>
      </x:c>
      <x:c r="G4" s="20" t="str">
        <x:v>title</x:v>
      </x:c>
      <x:c r="H4" s="20" t="str">
        <x:v>script_or_subtitle</x:v>
      </x:c>
      <x:c r="I4" s="20" t="str">
        <x:v>hook_text</x:v>
      </x:c>
      <x:c r="J4" s="20" t="str">
        <x:v>duration_seconds</x:v>
      </x:c>
      <x:c r="K4" s="20" t="str">
        <x:v>person_on_camera</x:v>
      </x:c>
      <x:c r="L4" s="20" t="str">
        <x:v>scene_demo</x:v>
      </x:c>
      <x:c r="M4" s="20" t="str">
        <x:v>product_closeup</x:v>
      </x:c>
      <x:c r="N4" s="20" t="str">
        <x:v>before_after</x:v>
      </x:c>
      <x:c r="O4" s="20" t="str">
        <x:v>views</x:v>
      </x:c>
      <x:c r="P4" s="20" t="str">
        <x:v>likes</x:v>
      </x:c>
      <x:c r="Q4" s="20" t="str">
        <x:v>comments</x:v>
      </x:c>
      <x:c r="R4" s="20" t="str">
        <x:v>favorites</x:v>
      </x:c>
      <x:c r="S4" s="20" t="str">
        <x:v>shares</x:v>
      </x:c>
      <x:c r="T4" s="20" t="str">
        <x:v>completion_rate</x:v>
      </x:c>
      <x:c r="U4" s="20" t="str">
        <x:v>avg_watch_time_seconds</x:v>
      </x:c>
      <x:c r="V4" s="20" t="str">
        <x:v>five_sec_retention</x:v>
      </x:c>
      <x:c r="W4" s="20" t="str">
        <x:v>product_clicks</x:v>
      </x:c>
      <x:c r="X4" s="20" t="str">
        <x:v>orders</x:v>
      </x:c>
      <x:c r="Y4" s="20" t="str">
        <x:v>notes</x:v>
      </x:c>
      <x:c r="Z4" s="20" t="str">
        <x:v>source_url</x:v>
      </x:c>
      <x:c r="AA4" s="21" t="str">
        <x:v>engagement_rate</x:v>
      </x:c>
      <x:c r="AB4" s="21" t="str">
        <x:v>product_click_rate</x:v>
      </x:c>
      <x:c r="AC4" s="21" t="str">
        <x:v>conversion_rate</x:v>
      </x:c>
      <x:c r="AD4" s="21" t="str">
        <x:v>duration_band</x:v>
      </x:c>
      <x:c r="AE4" s="21" t="str">
        <x:v>data_quality_score</x:v>
      </x:c>
      <x:c r="AF4" s="22" t="str">
        <x:v>record_status</x:v>
      </x:c>
    </x:row>
    <x:row r="5" ht="42" customHeight="1">
      <x:c r="A5" s="41" t="str">
        <x:v>DP001</x:v>
      </x:c>
      <x:c r="B5" s="42" t="str">
        <x:v>2026-07-06</x:v>
      </x:c>
      <x:c r="C5" s="43" t="str">
        <x:v>轻盈防晒乳</x:v>
      </x:c>
      <x:c r="D5" s="43" t="str">
        <x:v>美妆个护</x:v>
      </x:c>
      <x:c r="E5" s="43" t="str">
        <x:v>50-100元</x:v>
      </x:c>
      <x:c r="F5" s="43" t="str">
        <x:v>通勤女性</x:v>
      </x:c>
      <x:c r="G5" s="43" t="str">
        <x:v>轻盈防晒乳真实使用：值不值得买</x:v>
      </x:c>
      <x:c r="H5" s="43" t="str">
        <x:v>买轻盈防晒乳前，先看这个最容易忽略的细节。先展示消费痛点，再实拍商品核心功能，最后给出适用人群和购买提醒。</x:v>
      </x:c>
      <x:c r="I5" s="43" t="str">
        <x:v>买轻盈防晒乳前，先看这个最容易忽略的细节</x:v>
      </x:c>
      <x:c r="J5" s="43" t="n">
        <x:v>16</x:v>
      </x:c>
      <x:c r="K5" s="43" t="str">
        <x:v>是</x:v>
      </x:c>
      <x:c r="L5" s="43" t="str">
        <x:v>是</x:v>
      </x:c>
      <x:c r="M5" s="43" t="str">
        <x:v>是</x:v>
      </x:c>
      <x:c r="N5" s="43" t="str">
        <x:v>是</x:v>
      </x:c>
      <x:c r="O5" s="44" t="n">
        <x:v>6800</x:v>
      </x:c>
      <x:c r="P5" s="44" t="n">
        <x:v>218</x:v>
      </x:c>
      <x:c r="Q5" s="44" t="n">
        <x:v>14</x:v>
      </x:c>
      <x:c r="R5" s="44" t="n">
        <x:v>122</x:v>
      </x:c>
      <x:c r="S5" s="44" t="n">
        <x:v>27</x:v>
      </x:c>
      <x:c r="T5" s="45" t="n">
        <x:v>0.28</x:v>
      </x:c>
      <x:c r="U5" s="43" t="n">
        <x:v>7.2</x:v>
      </x:c>
      <x:c r="V5" s="45" t="n">
        <x:v>0.55</x:v>
      </x:c>
      <x:c r="W5" s="44" t="n">
        <x:v>122</x:v>
      </x:c>
      <x:c r="X5" s="44" t="n">
        <x:v>4</x:v>
      </x:c>
      <x:c r="Y5" s="43" t="str">
        <x:v>内容角度：痛点演示；人工合成，仅用于功能验证</x:v>
      </x:c>
      <x:c r="Z5" s="43" t="str"/>
      <x:c r="AA5" s="46" t="n">
        <x:f>IFERROR((P5+Q5+R5+S5)/O5,0)</x:f>
        <x:v>0.05602941176470588</x:v>
      </x:c>
      <x:c r="AB5" s="46" t="n">
        <x:f>IF(OR(W5="",O5=0),"",W5/O5)</x:f>
        <x:v>0.017941176470588235</x:v>
      </x:c>
      <x:c r="AC5" s="46" t="n">
        <x:f>IF(OR(X5="",W5=0),"",X5/W5)</x:f>
        <x:v>0.03278688524590164</x:v>
      </x:c>
      <x:c r="AD5" s="47" t="str">
        <x:f>IF(J5="","",IF(J5&lt;=10,"≤10秒",IF(J5&lt;=20,"11—20秒",IF(J5&lt;=30,"21—30秒","&gt;30秒"))))</x:f>
        <x:v>11—20秒</x:v>
      </x:c>
      <x:c r="AE5" s="48" t="n">
        <x:f>(IF(A5&lt;&gt;"",1,0)+IF(D5&lt;&gt;"",1,0)+IF(O5&gt;0,1,0)+IF(OR(G5&lt;&gt;"",H5&lt;&gt;"",I5&lt;&gt;""),1,0)+IF(OR(T5&lt;&gt;"",U5&lt;&gt;"",V5&lt;&gt;""),1,0))/5</x:f>
        <x:v>1</x:v>
      </x:c>
      <x:c r="AF5" s="49" t="str">
        <x:f>IF(AE5=1,"可分析","需检查")</x:f>
        <x:v>可分析</x:v>
      </x:c>
    </x:row>
    <x:row r="6" ht="42" customHeight="1">
      <x:c r="A6" s="41" t="str">
        <x:v>DP002</x:v>
      </x:c>
      <x:c r="B6" s="42" t="str">
        <x:v>2026-07-07</x:v>
      </x:c>
      <x:c r="C6" s="43" t="str">
        <x:v>氨基酸洁面慕斯</x:v>
      </x:c>
      <x:c r="D6" s="43" t="str">
        <x:v>美妆个护</x:v>
      </x:c>
      <x:c r="E6" s="43" t="str">
        <x:v>50-100元</x:v>
      </x:c>
      <x:c r="F6" s="43" t="str">
        <x:v>敏感肌人群</x:v>
      </x:c>
      <x:c r="G6" s="43" t="str">
        <x:v>氨基酸洁面慕斯三个细节实拍</x:v>
      </x:c>
      <x:c r="H6" s="43" t="str">
        <x:v>同价位对比后，我为什么留下这款氨基酸洁面慕斯。从日常使用场景切入，演示三步操作，并展示使用前后差异。</x:v>
      </x:c>
      <x:c r="I6" s="43" t="str">
        <x:v>同价位对比后，我为什么留下这款氨基酸洁面慕斯</x:v>
      </x:c>
      <x:c r="J6" s="43" t="n">
        <x:v>23</x:v>
      </x:c>
      <x:c r="K6" s="43" t="str">
        <x:v>是</x:v>
      </x:c>
      <x:c r="L6" s="43" t="str">
        <x:v>是</x:v>
      </x:c>
      <x:c r="M6" s="43" t="str">
        <x:v>是</x:v>
      </x:c>
      <x:c r="N6" s="43" t="str">
        <x:v>否</x:v>
      </x:c>
      <x:c r="O6" s="44" t="n">
        <x:v>10179</x:v>
      </x:c>
      <x:c r="P6" s="44" t="n">
        <x:v>387</x:v>
      </x:c>
      <x:c r="Q6" s="44" t="n">
        <x:v>29</x:v>
      </x:c>
      <x:c r="R6" s="44" t="n">
        <x:v>224</x:v>
      </x:c>
      <x:c r="S6" s="44" t="n">
        <x:v>56</x:v>
      </x:c>
      <x:c r="T6" s="45" t="n">
        <x:v>0.315</x:v>
      </x:c>
      <x:c r="U6" s="43" t="n">
        <x:v>7.9</x:v>
      </x:c>
      <x:c r="V6" s="45" t="n">
        <x:v>0.595</x:v>
      </x:c>
      <x:c r="W6" s="44" t="n">
        <x:v>244</x:v>
      </x:c>
      <x:c r="X6" s="44" t="n">
        <x:v>11</x:v>
      </x:c>
      <x:c r="Y6" s="43" t="str">
        <x:v>内容角度：使用教程；人工合成，仅用于功能验证</x:v>
      </x:c>
      <x:c r="Z6" s="43" t="str"/>
      <x:c r="AA6" s="46" t="n">
        <x:f>IFERROR((P6+Q6+R6+S6)/O6,0)</x:f>
        <x:v>0.06837606837606838</x:v>
      </x:c>
      <x:c r="AB6" s="46" t="n">
        <x:f>IF(OR(W6="",O6=0),"",W6/O6)</x:f>
        <x:v>0.02397092052264466</x:v>
      </x:c>
      <x:c r="AC6" s="46" t="n">
        <x:f>IF(OR(X6="",W6=0),"",X6/W6)</x:f>
        <x:v>0.045081967213114756</x:v>
      </x:c>
      <x:c r="AD6" s="47" t="str">
        <x:f>IF(J6="","",IF(J6&lt;=10,"≤10秒",IF(J6&lt;=20,"11—20秒",IF(J6&lt;=30,"21—30秒","&gt;30秒"))))</x:f>
        <x:v>21—30秒</x:v>
      </x:c>
      <x:c r="AE6" s="48" t="n">
        <x:f>(IF(A6&lt;&gt;"",1,0)+IF(D6&lt;&gt;"",1,0)+IF(O6&gt;0,1,0)+IF(OR(G6&lt;&gt;"",H6&lt;&gt;"",I6&lt;&gt;""),1,0)+IF(OR(T6&lt;&gt;"",U6&lt;&gt;"",V6&lt;&gt;""),1,0))/5</x:f>
        <x:v>1</x:v>
      </x:c>
      <x:c r="AF6" s="49" t="str">
        <x:f>IF(AE6=1,"可分析","需检查")</x:f>
        <x:v>可分析</x:v>
      </x:c>
    </x:row>
    <x:row r="7" ht="42" customHeight="1">
      <x:c r="A7" s="41" t="str">
        <x:v>DP003</x:v>
      </x:c>
      <x:c r="B7" s="42" t="str">
        <x:v>2026-07-08</x:v>
      </x:c>
      <x:c r="C7" s="43" t="str">
        <x:v>冻干黑咖啡</x:v>
      </x:c>
      <x:c r="D7" s="43" t="str">
        <x:v>食品饮料</x:v>
      </x:c>
      <x:c r="E7" s="43" t="str">
        <x:v>0-50元</x:v>
      </x:c>
      <x:c r="F7" s="43" t="str">
        <x:v>上班族</x:v>
      </x:c>
      <x:c r="G7" s="43" t="str">
        <x:v>用了7天冻干黑咖啡，最明显的变化</x:v>
      </x:c>
      <x:c r="H7" s="43" t="str">
        <x:v>别只看宣传图，冻干黑咖啡真实使用效果在这里。开头直接展示结果，中段拆解材质与功能，结尾总结优缺点。</x:v>
      </x:c>
      <x:c r="I7" s="43" t="str">
        <x:v>别只看宣传图，冻干黑咖啡真实使用效果在这里</x:v>
      </x:c>
      <x:c r="J7" s="43" t="n">
        <x:v>30</x:v>
      </x:c>
      <x:c r="K7" s="43" t="str">
        <x:v>否</x:v>
      </x:c>
      <x:c r="L7" s="43" t="str">
        <x:v>是</x:v>
      </x:c>
      <x:c r="M7" s="43" t="str">
        <x:v>是</x:v>
      </x:c>
      <x:c r="N7" s="43" t="str">
        <x:v>否</x:v>
      </x:c>
      <x:c r="O7" s="44" t="n">
        <x:v>13558</x:v>
      </x:c>
      <x:c r="P7" s="44" t="n">
        <x:v>597</x:v>
      </x:c>
      <x:c r="Q7" s="44" t="n">
        <x:v>49</x:v>
      </x:c>
      <x:c r="R7" s="44" t="n">
        <x:v>353</x:v>
      </x:c>
      <x:c r="S7" s="44" t="n">
        <x:v>95</x:v>
      </x:c>
      <x:c r="T7" s="45" t="n">
        <x:v>0.35</x:v>
      </x:c>
      <x:c r="U7" s="43" t="n">
        <x:v>8.6</x:v>
      </x:c>
      <x:c r="V7" s="45" t="n">
        <x:v>0.64</x:v>
      </x:c>
      <x:c r="W7" s="44" t="n">
        <x:v>407</x:v>
      </x:c>
      <x:c r="X7" s="44" t="n">
        <x:v>24</x:v>
      </x:c>
      <x:c r="Y7" s="43" t="str">
        <x:v>内容角度：前后对比；人工合成，仅用于功能验证</x:v>
      </x:c>
      <x:c r="Z7" s="43" t="str"/>
      <x:c r="AA7" s="46" t="n">
        <x:f>IFERROR((P7+Q7+R7+S7)/O7,0)</x:f>
        <x:v>0.0806903673108128</x:v>
      </x:c>
      <x:c r="AB7" s="46" t="n">
        <x:f>IF(OR(W7="",O7=0),"",W7/O7)</x:f>
        <x:v>0.0300191768697448</x:v>
      </x:c>
      <x:c r="AC7" s="46" t="n">
        <x:f>IF(OR(X7="",W7=0),"",X7/W7)</x:f>
        <x:v>0.05896805896805897</x:v>
      </x:c>
      <x:c r="AD7" s="47" t="str">
        <x:f>IF(J7="","",IF(J7&lt;=10,"≤10秒",IF(J7&lt;=20,"11—20秒",IF(J7&lt;=30,"21—30秒","&gt;30秒"))))</x:f>
        <x:v>21—30秒</x:v>
      </x:c>
      <x:c r="AE7" s="48" t="n">
        <x:f>(IF(A7&lt;&gt;"",1,0)+IF(D7&lt;&gt;"",1,0)+IF(O7&gt;0,1,0)+IF(OR(G7&lt;&gt;"",H7&lt;&gt;"",I7&lt;&gt;""),1,0)+IF(OR(T7&lt;&gt;"",U7&lt;&gt;"",V7&lt;&gt;""),1,0))/5</x:f>
        <x:v>1</x:v>
      </x:c>
      <x:c r="AF7" s="49" t="str">
        <x:f>IF(AE7=1,"可分析","需检查")</x:f>
        <x:v>可分析</x:v>
      </x:c>
    </x:row>
    <x:row r="8" ht="42" customHeight="1">
      <x:c r="A8" s="41" t="str">
        <x:v>DP004</x:v>
      </x:c>
      <x:c r="B8" s="42" t="str">
        <x:v>2026-07-09</x:v>
      </x:c>
      <x:c r="C8" s="43" t="str">
        <x:v>低糖燕麦脆</x:v>
      </x:c>
      <x:c r="D8" s="43" t="str">
        <x:v>食品饮料</x:v>
      </x:c>
      <x:c r="E8" s="43" t="str">
        <x:v>0-50元</x:v>
      </x:c>
      <x:c r="F8" s="43" t="str">
        <x:v>控糖人群</x:v>
      </x:c>
      <x:c r="G8" s="43" t="str">
        <x:v>低糖燕麦脆适合谁？一分钟说清</x:v>
      </x:c>
      <x:c r="H8" s="43" t="str">
        <x:v>如果你也遇到这个使用痛点，可以试试低糖燕麦脆。先做同价位对比，再突出商品差异点，最后提示价格与适用场景。</x:v>
      </x:c>
      <x:c r="I8" s="43" t="str">
        <x:v>如果你也遇到这个使用痛点，可以试试低糖燕麦脆</x:v>
      </x:c>
      <x:c r="J8" s="43" t="n">
        <x:v>37</x:v>
      </x:c>
      <x:c r="K8" s="43" t="str">
        <x:v>是</x:v>
      </x:c>
      <x:c r="L8" s="43" t="str">
        <x:v>是</x:v>
      </x:c>
      <x:c r="M8" s="43" t="str">
        <x:v>是</x:v>
      </x:c>
      <x:c r="N8" s="43" t="str">
        <x:v>是</x:v>
      </x:c>
      <x:c r="O8" s="44" t="n">
        <x:v>16937</x:v>
      </x:c>
      <x:c r="P8" s="44" t="n">
        <x:v>847</x:v>
      </x:c>
      <x:c r="Q8" s="44" t="n">
        <x:v>75</x:v>
      </x:c>
      <x:c r="R8" s="44" t="n">
        <x:v>508</x:v>
      </x:c>
      <x:c r="S8" s="44" t="n">
        <x:v>68</x:v>
      </x:c>
      <x:c r="T8" s="45" t="n">
        <x:v>0.385</x:v>
      </x:c>
      <x:c r="U8" s="43" t="n">
        <x:v>9.3</x:v>
      </x:c>
      <x:c r="V8" s="45" t="n">
        <x:v>0.685</x:v>
      </x:c>
      <x:c r="W8" s="44" t="n">
        <x:v>610</x:v>
      </x:c>
      <x:c r="X8" s="44" t="n">
        <x:v>43</x:v>
      </x:c>
      <x:c r="Y8" s="43" t="str">
        <x:v>内容角度：场景种草；人工合成，仅用于功能验证</x:v>
      </x:c>
      <x:c r="Z8" s="43" t="str"/>
      <x:c r="AA8" s="46" t="n">
        <x:f>IFERROR((P8+Q8+R8+S8)/O8,0)</x:f>
        <x:v>0.08844541536281514</x:v>
      </x:c>
      <x:c r="AB8" s="46" t="n">
        <x:f>IF(OR(W8="",O8=0),"",W8/O8)</x:f>
        <x:v>0.03601582334533861</x:v>
      </x:c>
      <x:c r="AC8" s="46" t="n">
        <x:f>IF(OR(X8="",W8=0),"",X8/W8)</x:f>
        <x:v>0.07049180327868852</x:v>
      </x:c>
      <x:c r="AD8" s="47" t="str">
        <x:f>IF(J8="","",IF(J8&lt;=10,"≤10秒",IF(J8&lt;=20,"11—20秒",IF(J8&lt;=30,"21—30秒","&gt;30秒"))))</x:f>
        <x:v>&gt;30秒</x:v>
      </x:c>
      <x:c r="AE8" s="48" t="n">
        <x:f>(IF(A8&lt;&gt;"",1,0)+IF(D8&lt;&gt;"",1,0)+IF(O8&gt;0,1,0)+IF(OR(G8&lt;&gt;"",H8&lt;&gt;"",I8&lt;&gt;""),1,0)+IF(OR(T8&lt;&gt;"",U8&lt;&gt;"",V8&lt;&gt;""),1,0))/5</x:f>
        <x:v>1</x:v>
      </x:c>
      <x:c r="AF8" s="49" t="str">
        <x:f>IF(AE8=1,"可分析","需检查")</x:f>
        <x:v>可分析</x:v>
      </x:c>
    </x:row>
    <x:row r="9" ht="42" customHeight="1">
      <x:c r="A9" s="41" t="str">
        <x:v>DP005</x:v>
      </x:c>
      <x:c r="B9" s="42" t="str">
        <x:v>2026-07-10</x:v>
      </x:c>
      <x:c r="C9" s="43" t="str">
        <x:v>免手洗平板拖把</x:v>
      </x:c>
      <x:c r="D9" s="43" t="str">
        <x:v>家居日用</x:v>
      </x:c>
      <x:c r="E9" s="43" t="str">
        <x:v>50-100元</x:v>
      </x:c>
      <x:c r="F9" s="43" t="str">
        <x:v>租房青年</x:v>
      </x:c>
      <x:c r="G9" s="43" t="str">
        <x:v>免手洗平板拖把真实使用：值不值得买</x:v>
      </x:c>
      <x:c r="H9" s="43" t="str">
        <x:v>买免手洗平板拖把前，先看这个最容易忽略的细节。先展示消费痛点，再实拍商品核心功能，最后给出适用人群和购买提醒。</x:v>
      </x:c>
      <x:c r="I9" s="43" t="str">
        <x:v>买免手洗平板拖把前，先看这个最容易忽略的细节</x:v>
      </x:c>
      <x:c r="J9" s="43" t="n">
        <x:v>21</x:v>
      </x:c>
      <x:c r="K9" s="43" t="str">
        <x:v>是</x:v>
      </x:c>
      <x:c r="L9" s="43" t="str">
        <x:v>是</x:v>
      </x:c>
      <x:c r="M9" s="43" t="str">
        <x:v>是</x:v>
      </x:c>
      <x:c r="N9" s="43" t="str">
        <x:v>否</x:v>
      </x:c>
      <x:c r="O9" s="44" t="n">
        <x:v>20316</x:v>
      </x:c>
      <x:c r="P9" s="44" t="n">
        <x:v>1138</x:v>
      </x:c>
      <x:c r="Q9" s="44" t="n">
        <x:v>41</x:v>
      </x:c>
      <x:c r="R9" s="44" t="n">
        <x:v>691</x:v>
      </x:c>
      <x:c r="S9" s="44" t="n">
        <x:v>112</x:v>
      </x:c>
      <x:c r="T9" s="45" t="n">
        <x:v>0.42</x:v>
      </x:c>
      <x:c r="U9" s="43" t="n">
        <x:v>10</x:v>
      </x:c>
      <x:c r="V9" s="45" t="n">
        <x:v>0.73</x:v>
      </x:c>
      <x:c r="W9" s="44" t="n">
        <x:v>853</x:v>
      </x:c>
      <x:c r="X9" s="44" t="n">
        <x:v>30</x:v>
      </x:c>
      <x:c r="Y9" s="43" t="str">
        <x:v>内容角度：痛点演示；人工合成，仅用于功能验证</x:v>
      </x:c>
      <x:c r="Z9" s="43" t="str"/>
      <x:c r="AA9" s="46" t="n">
        <x:f>IFERROR((P9+Q9+R9+S9)/O9,0)</x:f>
        <x:v>0.09755857452254381</x:v>
      </x:c>
      <x:c r="AB9" s="46" t="n">
        <x:f>IF(OR(W9="",O9=0),"",W9/O9)</x:f>
        <x:v>0.04198661153770427</x:v>
      </x:c>
      <x:c r="AC9" s="46" t="n">
        <x:f>IF(OR(X9="",W9=0),"",X9/W9)</x:f>
        <x:v>0.035169988276670575</x:v>
      </x:c>
      <x:c r="AD9" s="47" t="str">
        <x:f>IF(J9="","",IF(J9&lt;=10,"≤10秒",IF(J9&lt;=20,"11—20秒",IF(J9&lt;=30,"21—30秒","&gt;30秒"))))</x:f>
        <x:v>21—30秒</x:v>
      </x:c>
      <x:c r="AE9" s="48" t="n">
        <x:f>(IF(A9&lt;&gt;"",1,0)+IF(D9&lt;&gt;"",1,0)+IF(O9&gt;0,1,0)+IF(OR(G9&lt;&gt;"",H9&lt;&gt;"",I9&lt;&gt;""),1,0)+IF(OR(T9&lt;&gt;"",U9&lt;&gt;"",V9&lt;&gt;""),1,0))/5</x:f>
        <x:v>1</x:v>
      </x:c>
      <x:c r="AF9" s="49" t="str">
        <x:f>IF(AE9=1,"可分析","需检查")</x:f>
        <x:v>可分析</x:v>
      </x:c>
    </x:row>
    <x:row r="10" ht="42" customHeight="1">
      <x:c r="A10" s="41" t="str">
        <x:v>DP006</x:v>
      </x:c>
      <x:c r="B10" s="42" t="str">
        <x:v>2026-07-11</x:v>
      </x:c>
      <x:c r="C10" s="43" t="str">
        <x:v>厨房去油湿巾</x:v>
      </x:c>
      <x:c r="D10" s="43" t="str">
        <x:v>家居日用</x:v>
      </x:c>
      <x:c r="E10" s="43" t="str">
        <x:v>0-50元</x:v>
      </x:c>
      <x:c r="F10" s="43" t="str">
        <x:v>家庭用户</x:v>
      </x:c>
      <x:c r="G10" s="43" t="str">
        <x:v>厨房去油湿巾三个细节实拍</x:v>
      </x:c>
      <x:c r="H10" s="43" t="str">
        <x:v>同价位对比后，我为什么留下这款厨房去油湿巾。从日常使用场景切入，演示三步操作，并展示使用前后差异。</x:v>
      </x:c>
      <x:c r="I10" s="43" t="str">
        <x:v>同价位对比后，我为什么留下这款厨房去油湿巾</x:v>
      </x:c>
      <x:c r="J10" s="43" t="n">
        <x:v>28</x:v>
      </x:c>
      <x:c r="K10" s="43" t="str">
        <x:v>是</x:v>
      </x:c>
      <x:c r="L10" s="43" t="str">
        <x:v>是</x:v>
      </x:c>
      <x:c r="M10" s="43" t="str">
        <x:v>是</x:v>
      </x:c>
      <x:c r="N10" s="43" t="str">
        <x:v>否</x:v>
      </x:c>
      <x:c r="O10" s="44" t="n">
        <x:v>23695</x:v>
      </x:c>
      <x:c r="P10" s="44" t="n">
        <x:v>1469</x:v>
      </x:c>
      <x:c r="Q10" s="44" t="n">
        <x:v>66</x:v>
      </x:c>
      <x:c r="R10" s="44" t="n">
        <x:v>427</x:v>
      </x:c>
      <x:c r="S10" s="44" t="n">
        <x:v>166</x:v>
      </x:c>
      <x:c r="T10" s="45" t="n">
        <x:v>0.455</x:v>
      </x:c>
      <x:c r="U10" s="43" t="n">
        <x:v>10.7</x:v>
      </x:c>
      <x:c r="V10" s="45" t="n">
        <x:v>0.775</x:v>
      </x:c>
      <x:c r="W10" s="44" t="n">
        <x:v>427</x:v>
      </x:c>
      <x:c r="X10" s="44" t="n">
        <x:v>20</x:v>
      </x:c>
      <x:c r="Y10" s="43" t="str">
        <x:v>内容角度：使用教程；人工合成，仅用于功能验证</x:v>
      </x:c>
      <x:c r="Z10" s="43" t="str"/>
      <x:c r="AA10" s="46" t="n">
        <x:f>IFERROR((P10+Q10+R10+S10)/O10,0)</x:f>
        <x:v>0.08980797636632201</x:v>
      </x:c>
      <x:c r="AB10" s="46" t="n">
        <x:f>IF(OR(W10="",O10=0),"",W10/O10)</x:f>
        <x:v>0.018020679468242245</x:v>
      </x:c>
      <x:c r="AC10" s="46" t="n">
        <x:f>IF(OR(X10="",W10=0),"",X10/W10)</x:f>
        <x:v>0.0468384074941452</x:v>
      </x:c>
      <x:c r="AD10" s="47" t="str">
        <x:f>IF(J10="","",IF(J10&lt;=10,"≤10秒",IF(J10&lt;=20,"11—20秒",IF(J10&lt;=30,"21—30秒","&gt;30秒"))))</x:f>
        <x:v>21—30秒</x:v>
      </x:c>
      <x:c r="AE10" s="48" t="n">
        <x:f>(IF(A10&lt;&gt;"",1,0)+IF(D10&lt;&gt;"",1,0)+IF(O10&gt;0,1,0)+IF(OR(G10&lt;&gt;"",H10&lt;&gt;"",I10&lt;&gt;""),1,0)+IF(OR(T10&lt;&gt;"",U10&lt;&gt;"",V10&lt;&gt;""),1,0))/5</x:f>
        <x:v>1</x:v>
      </x:c>
      <x:c r="AF10" s="49" t="str">
        <x:f>IF(AE10=1,"可分析","需检查")</x:f>
        <x:v>可分析</x:v>
      </x:c>
    </x:row>
    <x:row r="11" ht="42" customHeight="1">
      <x:c r="A11" s="41" t="str">
        <x:v>DP007</x:v>
      </x:c>
      <x:c r="B11" s="42" t="str">
        <x:v>2026-07-12</x:v>
      </x:c>
      <x:c r="C11" s="43" t="str">
        <x:v>冰丝防晒衬衫</x:v>
      </x:c>
      <x:c r="D11" s="43" t="str">
        <x:v>服饰配件</x:v>
      </x:c>
      <x:c r="E11" s="43" t="str">
        <x:v>100-200元</x:v>
      </x:c>
      <x:c r="F11" s="43" t="str">
        <x:v>年轻女性</x:v>
      </x:c>
      <x:c r="G11" s="43" t="str">
        <x:v>用了7天冰丝防晒衬衫，最明显的变化</x:v>
      </x:c>
      <x:c r="H11" s="43" t="str">
        <x:v>别只看宣传图，冰丝防晒衬衫真实使用效果在这里。开头直接展示结果，中段拆解材质与功能，结尾总结优缺点。</x:v>
      </x:c>
      <x:c r="I11" s="43" t="str">
        <x:v>别只看宣传图，冰丝防晒衬衫真实使用效果在这里</x:v>
      </x:c>
      <x:c r="J11" s="43" t="n">
        <x:v>35</x:v>
      </x:c>
      <x:c r="K11" s="43" t="str">
        <x:v>否</x:v>
      </x:c>
      <x:c r="L11" s="43" t="str">
        <x:v>是</x:v>
      </x:c>
      <x:c r="M11" s="43" t="str">
        <x:v>是</x:v>
      </x:c>
      <x:c r="N11" s="43" t="str">
        <x:v>是</x:v>
      </x:c>
      <x:c r="O11" s="44" t="n">
        <x:v>27074</x:v>
      </x:c>
      <x:c r="P11" s="44" t="n">
        <x:v>866</x:v>
      </x:c>
      <x:c r="Q11" s="44" t="n">
        <x:v>97</x:v>
      </x:c>
      <x:c r="R11" s="44" t="n">
        <x:v>596</x:v>
      </x:c>
      <x:c r="S11" s="44" t="n">
        <x:v>108</x:v>
      </x:c>
      <x:c r="T11" s="45" t="n">
        <x:v>0.49</x:v>
      </x:c>
      <x:c r="U11" s="43" t="n">
        <x:v>11.4</x:v>
      </x:c>
      <x:c r="V11" s="45" t="n">
        <x:v>0.55</x:v>
      </x:c>
      <x:c r="W11" s="44" t="n">
        <x:v>650</x:v>
      </x:c>
      <x:c r="X11" s="44" t="n">
        <x:v>38</x:v>
      </x:c>
      <x:c r="Y11" s="43" t="str">
        <x:v>内容角度：前后对比；人工合成，仅用于功能验证</x:v>
      </x:c>
      <x:c r="Z11" s="43" t="str"/>
      <x:c r="AA11" s="46" t="n">
        <x:f>IFERROR((P11+Q11+R11+S11)/O11,0)</x:f>
        <x:v>0.06157198788505577</x:v>
      </x:c>
      <x:c r="AB11" s="46" t="n">
        <x:f>IF(OR(W11="",O11=0),"",W11/O11)</x:f>
        <x:v>0.024008273620447662</x:v>
      </x:c>
      <x:c r="AC11" s="46" t="n">
        <x:f>IF(OR(X11="",W11=0),"",X11/W11)</x:f>
        <x:v>0.05846153846153846</x:v>
      </x:c>
      <x:c r="AD11" s="47" t="str">
        <x:f>IF(J11="","",IF(J11&lt;=10,"≤10秒",IF(J11&lt;=20,"11—20秒",IF(J11&lt;=30,"21—30秒","&gt;30秒"))))</x:f>
        <x:v>&gt;30秒</x:v>
      </x:c>
      <x:c r="AE11" s="48" t="n">
        <x:f>(IF(A11&lt;&gt;"",1,0)+IF(D11&lt;&gt;"",1,0)+IF(O11&gt;0,1,0)+IF(OR(G11&lt;&gt;"",H11&lt;&gt;"",I11&lt;&gt;""),1,0)+IF(OR(T11&lt;&gt;"",U11&lt;&gt;"",V11&lt;&gt;""),1,0))/5</x:f>
        <x:v>1</x:v>
      </x:c>
      <x:c r="AF11" s="49" t="str">
        <x:f>IF(AE11=1,"可分析","需检查")</x:f>
        <x:v>可分析</x:v>
      </x:c>
    </x:row>
    <x:row r="12" ht="42" customHeight="1">
      <x:c r="A12" s="41" t="str">
        <x:v>DP008</x:v>
      </x:c>
      <x:c r="B12" s="42" t="str">
        <x:v>2026-07-13</x:v>
      </x:c>
      <x:c r="C12" s="43" t="str">
        <x:v>通勤托特包</x:v>
      </x:c>
      <x:c r="D12" s="43" t="str">
        <x:v>服饰配件</x:v>
      </x:c>
      <x:c r="E12" s="43" t="str">
        <x:v>100-200元</x:v>
      </x:c>
      <x:c r="F12" s="43" t="str">
        <x:v>职场女性</x:v>
      </x:c>
      <x:c r="G12" s="43" t="str">
        <x:v>通勤托特包适合谁？一分钟说清</x:v>
      </x:c>
      <x:c r="H12" s="43" t="str">
        <x:v>如果你也遇到这个使用痛点，可以试试通勤托特包。先做同价位对比，再突出商品差异点，最后提示价格与适用场景。</x:v>
      </x:c>
      <x:c r="I12" s="43" t="str">
        <x:v>如果你也遇到这个使用痛点，可以试试通勤托特包</x:v>
      </x:c>
      <x:c r="J12" s="43" t="n">
        <x:v>19</x:v>
      </x:c>
      <x:c r="K12" s="43" t="str">
        <x:v>是</x:v>
      </x:c>
      <x:c r="L12" s="43" t="str">
        <x:v>是</x:v>
      </x:c>
      <x:c r="M12" s="43" t="str">
        <x:v>是</x:v>
      </x:c>
      <x:c r="N12" s="43" t="str">
        <x:v>否</x:v>
      </x:c>
      <x:c r="O12" s="44" t="n">
        <x:v>8653</x:v>
      </x:c>
      <x:c r="P12" s="44" t="n">
        <x:v>329</x:v>
      </x:c>
      <x:c r="Q12" s="44" t="n">
        <x:v>38</x:v>
      </x:c>
      <x:c r="R12" s="44" t="n">
        <x:v>225</x:v>
      </x:c>
      <x:c r="S12" s="44" t="n">
        <x:v>48</x:v>
      </x:c>
      <x:c r="T12" s="45" t="n">
        <x:v>0.28</x:v>
      </x:c>
      <x:c r="U12" s="43" t="n">
        <x:v>12.1</x:v>
      </x:c>
      <x:c r="V12" s="45" t="n">
        <x:v>0.595</x:v>
      </x:c>
      <x:c r="W12" s="44" t="n">
        <x:v>260</x:v>
      </x:c>
      <x:c r="X12" s="44" t="n">
        <x:v>18</x:v>
      </x:c>
      <x:c r="Y12" s="43" t="str">
        <x:v>内容角度：场景种草；人工合成，仅用于功能验证</x:v>
      </x:c>
      <x:c r="Z12" s="43" t="str"/>
      <x:c r="AA12" s="46" t="n">
        <x:f>IFERROR((P12+Q12+R12+S12)/O12,0)</x:f>
        <x:v>0.07396278747255287</x:v>
      </x:c>
      <x:c r="AB12" s="46" t="n">
        <x:f>IF(OR(W12="",O12=0),"",W12/O12)</x:f>
        <x:v>0.030047382410724605</x:v>
      </x:c>
      <x:c r="AC12" s="46" t="n">
        <x:f>IF(OR(X12="",W12=0),"",X12/W12)</x:f>
        <x:v>0.06923076923076923</x:v>
      </x:c>
      <x:c r="AD12" s="47" t="str">
        <x:f>IF(J12="","",IF(J12&lt;=10,"≤10秒",IF(J12&lt;=20,"11—20秒",IF(J12&lt;=30,"21—30秒","&gt;30秒"))))</x:f>
        <x:v>11—20秒</x:v>
      </x:c>
      <x:c r="AE12" s="48" t="n">
        <x:f>(IF(A12&lt;&gt;"",1,0)+IF(D12&lt;&gt;"",1,0)+IF(O12&gt;0,1,0)+IF(OR(G12&lt;&gt;"",H12&lt;&gt;"",I12&lt;&gt;""),1,0)+IF(OR(T12&lt;&gt;"",U12&lt;&gt;"",V12&lt;&gt;""),1,0))/5</x:f>
        <x:v>1</x:v>
      </x:c>
      <x:c r="AF12" s="49" t="str">
        <x:f>IF(AE12=1,"可分析","需检查")</x:f>
        <x:v>可分析</x:v>
      </x:c>
    </x:row>
    <x:row r="13" ht="42" customHeight="1">
      <x:c r="A13" s="41" t="str">
        <x:v>DP004</x:v>
      </x:c>
      <x:c r="B13" s="42" t="str">
        <x:v>2026-07-14</x:v>
      </x:c>
      <x:c r="C13" s="43" t="str">
        <x:v>磁吸充电宝</x:v>
      </x:c>
      <x:c r="D13" s="43" t="str">
        <x:v>数码配件</x:v>
      </x:c>
      <x:c r="E13" s="43" t="str">
        <x:v>100-200元</x:v>
      </x:c>
      <x:c r="F13" s="43" t="str">
        <x:v>手机重度用户</x:v>
      </x:c>
      <x:c r="G13" s="43" t="str">
        <x:v>重复 ID 的后一条记录，应保留这一条</x:v>
      </x:c>
      <x:c r="H13" s="43" t="str">
        <x:v>买磁吸充电宝前，先看这个最容易忽略的细节。先展示消费痛点，再实拍商品核心功能，最后给出适用人群和购买提醒。</x:v>
      </x:c>
      <x:c r="I13" s="43" t="str">
        <x:v>买磁吸充电宝前，先看这个最容易忽略的细节</x:v>
      </x:c>
      <x:c r="J13" s="43" t="n">
        <x:v>26</x:v>
      </x:c>
      <x:c r="K13" s="43" t="str">
        <x:v>是</x:v>
      </x:c>
      <x:c r="L13" s="43" t="str">
        <x:v>是</x:v>
      </x:c>
      <x:c r="M13" s="43" t="str">
        <x:v>是</x:v>
      </x:c>
      <x:c r="N13" s="43" t="str">
        <x:v>否</x:v>
      </x:c>
      <x:c r="O13" s="44" t="n">
        <x:v>12032</x:v>
      </x:c>
      <x:c r="P13" s="44" t="n">
        <x:v>529</x:v>
      </x:c>
      <x:c r="Q13" s="44" t="n">
        <x:v>24</x:v>
      </x:c>
      <x:c r="R13" s="44" t="n">
        <x:v>361</x:v>
      </x:c>
      <x:c r="S13" s="44" t="n">
        <x:v>84</x:v>
      </x:c>
      <x:c r="T13" s="45" t="n">
        <x:v>0.315</x:v>
      </x:c>
      <x:c r="U13" s="43" t="n">
        <x:v>7.2</x:v>
      </x:c>
      <x:c r="V13" s="45" t="n">
        <x:v>0.64</x:v>
      </x:c>
      <x:c r="W13" s="44" t="n">
        <x:v>433</x:v>
      </x:c>
      <x:c r="X13" s="44" t="n">
        <x:v>15</x:v>
      </x:c>
      <x:c r="Y13" s="43" t="str">
        <x:v>内容角度：痛点演示；人工合成，仅用于功能验证</x:v>
      </x:c>
      <x:c r="Z13" s="43" t="str"/>
      <x:c r="AA13" s="46" t="n">
        <x:f>IFERROR((P13+Q13+R13+S13)/O13,0)</x:f>
        <x:v>0.08294547872340426</x:v>
      </x:c>
      <x:c r="AB13" s="46" t="n">
        <x:f>IF(OR(W13="",O13=0),"",W13/O13)</x:f>
        <x:v>0.0359873670212766</x:v>
      </x:c>
      <x:c r="AC13" s="46" t="n">
        <x:f>IF(OR(X13="",W13=0),"",X13/W13)</x:f>
        <x:v>0.03464203233256351</x:v>
      </x:c>
      <x:c r="AD13" s="47" t="str">
        <x:f>IF(J13="","",IF(J13&lt;=10,"≤10秒",IF(J13&lt;=20,"11—20秒",IF(J13&lt;=30,"21—30秒","&gt;30秒"))))</x:f>
        <x:v>21—30秒</x:v>
      </x:c>
      <x:c r="AE13" s="48" t="n">
        <x:f>(IF(A13&lt;&gt;"",1,0)+IF(D13&lt;&gt;"",1,0)+IF(O13&gt;0,1,0)+IF(OR(G13&lt;&gt;"",H13&lt;&gt;"",I13&lt;&gt;""),1,0)+IF(OR(T13&lt;&gt;"",U13&lt;&gt;"",V13&lt;&gt;""),1,0))/5</x:f>
        <x:v>1</x:v>
      </x:c>
      <x:c r="AF13" s="49" t="str">
        <x:f>IF(AE13=1,"可分析","需检查")</x:f>
        <x:v>可分析</x:v>
      </x:c>
    </x:row>
    <x:row r="14" ht="42" customHeight="1">
      <x:c r="A14" s="41" t="str">
        <x:v>DP010</x:v>
      </x:c>
      <x:c r="B14" s="42" t="str">
        <x:v>2026-07-15</x:v>
      </x:c>
      <x:c r="C14" s="43" t="str">
        <x:v>开放式蓝牙耳机</x:v>
      </x:c>
      <x:c r="D14" s="43" t="str">
        <x:v>数码配件</x:v>
      </x:c>
      <x:c r="E14" s="43" t="str">
        <x:v>200元以上</x:v>
      </x:c>
      <x:c r="F14" s="43" t="str">
        <x:v>运动人群</x:v>
      </x:c>
      <x:c r="G14" s="43" t="str">
        <x:v>开放式蓝牙耳机三个细节实拍</x:v>
      </x:c>
      <x:c r="H14" s="43" t="str">
        <x:v>同价位对比后，我为什么留下这款开放式蓝牙耳机。从日常使用场景切入，演示三步操作，并展示使用前后差异。</x:v>
      </x:c>
      <x:c r="I14" s="43" t="str">
        <x:v>同价位对比后，我为什么留下这款开放式蓝牙耳机</x:v>
      </x:c>
      <x:c r="J14" s="43" t="n">
        <x:v>33</x:v>
      </x:c>
      <x:c r="K14" s="43" t="str">
        <x:v>是</x:v>
      </x:c>
      <x:c r="L14" s="43" t="str">
        <x:v>是</x:v>
      </x:c>
      <x:c r="M14" s="43" t="str">
        <x:v>是</x:v>
      </x:c>
      <x:c r="N14" s="43" t="str">
        <x:v>是</x:v>
      </x:c>
      <x:c r="O14" s="44" t="n">
        <x:v>15411</x:v>
      </x:c>
      <x:c r="P14" s="44" t="n">
        <x:v>771</x:v>
      </x:c>
      <x:c r="Q14" s="44" t="n">
        <x:v>43</x:v>
      </x:c>
      <x:c r="R14" s="44" t="n">
        <x:v>524</x:v>
      </x:c>
      <x:c r="S14" s="44" t="n">
        <x:v>62</x:v>
      </x:c>
      <x:c r="T14" s="45" t="n">
        <x:v>0.35</x:v>
      </x:c>
      <x:c r="U14" s="43" t="n">
        <x:v>7.9</x:v>
      </x:c>
      <x:c r="V14" s="45" t="n">
        <x:v>0.685</x:v>
      </x:c>
      <x:c r="W14" s="44" t="n">
        <x:v>647</x:v>
      </x:c>
      <x:c r="X14" s="44" t="n">
        <x:v>30</x:v>
      </x:c>
      <x:c r="Y14" s="43" t="str">
        <x:v>内容角度：使用教程；人工合成，仅用于功能验证</x:v>
      </x:c>
      <x:c r="Z14" s="43" t="str"/>
      <x:c r="AA14" s="46" t="n">
        <x:f>IFERROR((P14+Q14+R14+S14)/O14,0)</x:f>
        <x:v>0.09084420219323859</x:v>
      </x:c>
      <x:c r="AB14" s="46" t="n">
        <x:f>IF(OR(W14="",O14=0),"",W14/O14)</x:f>
        <x:v>0.041982999156446696</x:v>
      </x:c>
      <x:c r="AC14" s="46" t="n">
        <x:f>IF(OR(X14="",W14=0),"",X14/W14)</x:f>
        <x:v>0.04636785162287481</x:v>
      </x:c>
      <x:c r="AD14" s="47" t="str">
        <x:f>IF(J14="","",IF(J14&lt;=10,"≤10秒",IF(J14&lt;=20,"11—20秒",IF(J14&lt;=30,"21—30秒","&gt;30秒"))))</x:f>
        <x:v>&gt;30秒</x:v>
      </x:c>
      <x:c r="AE14" s="48" t="n">
        <x:f>(IF(A14&lt;&gt;"",1,0)+IF(D14&lt;&gt;"",1,0)+IF(O14&gt;0,1,0)+IF(OR(G14&lt;&gt;"",H14&lt;&gt;"",I14&lt;&gt;""),1,0)+IF(OR(T14&lt;&gt;"",U14&lt;&gt;"",V14&lt;&gt;""),1,0))/5</x:f>
        <x:v>1</x:v>
      </x:c>
      <x:c r="AF14" s="49" t="str">
        <x:f>IF(AE14=1,"可分析","需检查")</x:f>
        <x:v>可分析</x:v>
      </x:c>
    </x:row>
    <x:row r="15" ht="42" customHeight="1">
      <x:c r="A15" s="41" t="str">
        <x:v>DP011</x:v>
      </x:c>
      <x:c r="B15" s="42" t="str">
        <x:v>2026-07-16</x:v>
      </x:c>
      <x:c r="C15" s="43" t="str">
        <x:v>轻盈防晒乳</x:v>
      </x:c>
      <x:c r="D15" s="43" t="str">
        <x:v>美妆个护</x:v>
      </x:c>
      <x:c r="E15" s="43" t="str">
        <x:v>50-100元</x:v>
      </x:c>
      <x:c r="F15" s="43" t="str">
        <x:v>通勤女性</x:v>
      </x:c>
      <x:c r="G15" s="43" t="str">
        <x:v>用了7天轻盈防晒乳，最明显的变化</x:v>
      </x:c>
      <x:c r="H15" s="43" t="str">
        <x:v>别只看宣传图，轻盈防晒乳真实使用效果在这里。开头直接展示结果，中段拆解材质与功能，结尾总结优缺点。</x:v>
      </x:c>
      <x:c r="I15" s="43" t="str">
        <x:v>别只看宣传图，轻盈防晒乳真实使用效果在这里</x:v>
      </x:c>
      <x:c r="J15" s="43" t="n">
        <x:v>17</x:v>
      </x:c>
      <x:c r="K15" s="43" t="str">
        <x:v>否</x:v>
      </x:c>
      <x:c r="L15" s="43" t="str">
        <x:v>是</x:v>
      </x:c>
      <x:c r="M15" s="43" t="str">
        <x:v>是</x:v>
      </x:c>
      <x:c r="N15" s="43" t="str">
        <x:v>否</x:v>
      </x:c>
      <x:c r="O15" s="44" t="n">
        <x:v>18790</x:v>
      </x:c>
      <x:c r="P15" s="44" t="n">
        <x:v>1052</x:v>
      </x:c>
      <x:c r="Q15" s="44" t="n">
        <x:v>68</x:v>
      </x:c>
      <x:c r="R15" s="44" t="n">
        <x:v>338</x:v>
      </x:c>
      <x:c r="S15" s="44" t="n">
        <x:v>103</x:v>
      </x:c>
      <x:c r="T15" s="45" t="n">
        <x:v>0.385</x:v>
      </x:c>
      <x:c r="U15" s="43" t="n">
        <x:v>8.6</x:v>
      </x:c>
      <x:c r="V15" s="45" t="n">
        <x:v>0.73</x:v>
      </x:c>
      <x:c r="W15" s="44" t="n">
        <x:v>338</x:v>
      </x:c>
      <x:c r="X15" s="44" t="n">
        <x:v>20</x:v>
      </x:c>
      <x:c r="Y15" s="43" t="str">
        <x:v>内容角度：前后对比；人工合成，仅用于功能验证</x:v>
      </x:c>
      <x:c r="Z15" s="43" t="str"/>
      <x:c r="AA15" s="46" t="n">
        <x:f>IFERROR((P15+Q15+R15+S15)/O15,0)</x:f>
        <x:v>0.08307610431080362</x:v>
      </x:c>
      <x:c r="AB15" s="46" t="n">
        <x:f>IF(OR(W15="",O15=0),"",W15/O15)</x:f>
        <x:v>0.01798829164449175</x:v>
      </x:c>
      <x:c r="AC15" s="46" t="n">
        <x:f>IF(OR(X15="",W15=0),"",X15/W15)</x:f>
        <x:v>0.05917159763313609</x:v>
      </x:c>
      <x:c r="AD15" s="47" t="str">
        <x:f>IF(J15="","",IF(J15&lt;=10,"≤10秒",IF(J15&lt;=20,"11—20秒",IF(J15&lt;=30,"21—30秒","&gt;30秒"))))</x:f>
        <x:v>11—20秒</x:v>
      </x:c>
      <x:c r="AE15" s="48" t="n">
        <x:f>(IF(A15&lt;&gt;"",1,0)+IF(D15&lt;&gt;"",1,0)+IF(O15&gt;0,1,0)+IF(OR(G15&lt;&gt;"",H15&lt;&gt;"",I15&lt;&gt;""),1,0)+IF(OR(T15&lt;&gt;"",U15&lt;&gt;"",V15&lt;&gt;""),1,0))/5</x:f>
        <x:v>1</x:v>
      </x:c>
      <x:c r="AF15" s="49" t="str">
        <x:f>IF(AE15=1,"可分析","需检查")</x:f>
        <x:v>可分析</x:v>
      </x:c>
    </x:row>
    <x:row r="16" ht="42" customHeight="1">
      <x:c r="A16" s="50" t="str">
        <x:v>DP012</x:v>
      </x:c>
      <x:c r="B16" s="51" t="str">
        <x:v>2026-07-17</x:v>
      </x:c>
      <x:c r="C16" s="52" t="str">
        <x:v>氨基酸洁面慕斯</x:v>
      </x:c>
      <x:c r="D16" s="52" t="str">
        <x:v>美妆个护</x:v>
      </x:c>
      <x:c r="E16" s="52" t="str">
        <x:v>50-100元</x:v>
      </x:c>
      <x:c r="F16" s="52" t="str">
        <x:v>敏感肌人群</x:v>
      </x:c>
      <x:c r="G16" s="52" t="str">
        <x:v>氨基酸洁面慕斯适合谁？一分钟说清</x:v>
      </x:c>
      <x:c r="H16" s="52" t="str">
        <x:v>如果你也遇到这个使用痛点，可以试试氨基酸洁面慕斯。先做同价位对比，再突出商品差异点，最后提示价格与适用场景。</x:v>
      </x:c>
      <x:c r="I16" s="52" t="str">
        <x:v>如果你也遇到这个使用痛点，可以试试氨基酸洁面慕斯</x:v>
      </x:c>
      <x:c r="J16" s="52" t="n">
        <x:v>24</x:v>
      </x:c>
      <x:c r="K16" s="52" t="str">
        <x:v>是</x:v>
      </x:c>
      <x:c r="L16" s="52" t="str">
        <x:v>是</x:v>
      </x:c>
      <x:c r="M16" s="52" t="str">
        <x:v>是</x:v>
      </x:c>
      <x:c r="N16" s="52" t="str">
        <x:v>否</x:v>
      </x:c>
      <x:c r="O16" s="53" t="n">
        <x:v>22169</x:v>
      </x:c>
      <x:c r="P16" s="53" t="n">
        <x:v>1374</x:v>
      </x:c>
      <x:c r="Q16" s="53" t="n">
        <x:v>98</x:v>
      </x:c>
      <x:c r="R16" s="53" t="n">
        <x:v>488</x:v>
      </x:c>
      <x:c r="S16" s="53" t="n">
        <x:v>155</x:v>
      </x:c>
      <x:c r="T16" s="54" t="n">
        <x:v>0.42</x:v>
      </x:c>
      <x:c r="U16" s="52" t="n">
        <x:v>9.3</x:v>
      </x:c>
      <x:c r="V16" s="54" t="n">
        <x:v>0.775</x:v>
      </x:c>
      <x:c r="W16" s="53" t="n">
        <x:v>532</x:v>
      </x:c>
      <x:c r="X16" s="53" t="n">
        <x:v>38</x:v>
      </x:c>
      <x:c r="Y16" s="52" t="str">
        <x:v>内容角度：场景种草；人工合成，仅用于功能验证</x:v>
      </x:c>
      <x:c r="Z16" s="52" t="str"/>
      <x:c r="AA16" s="55" t="n">
        <x:f>IFERROR((P16+Q16+R16+S16)/O16,0)</x:f>
        <x:v>0.09540349136181153</x:v>
      </x:c>
      <x:c r="AB16" s="55" t="n">
        <x:f>IF(OR(W16="",O16=0),"",W16/O16)</x:f>
        <x:v>0.023997473950110516</x:v>
      </x:c>
      <x:c r="AC16" s="55" t="n">
        <x:f>IF(OR(X16="",W16=0),"",X16/W16)</x:f>
        <x:v>0.07142857142857142</x:v>
      </x:c>
      <x:c r="AD16" s="56" t="str">
        <x:f>IF(J16="","",IF(J16&lt;=10,"≤10秒",IF(J16&lt;=20,"11—20秒",IF(J16&lt;=30,"21—30秒","&gt;30秒"))))</x:f>
        <x:v>21—30秒</x:v>
      </x:c>
      <x:c r="AE16" s="57" t="n">
        <x:f>(IF(A16&lt;&gt;"",1,0)+IF(D16&lt;&gt;"",1,0)+IF(O16&gt;0,1,0)+IF(OR(G16&lt;&gt;"",H16&lt;&gt;"",I16&lt;&gt;""),1,0)+IF(OR(T16&lt;&gt;"",U16&lt;&gt;"",V16&lt;&gt;""),1,0))/5</x:f>
        <x:v>1</x:v>
      </x:c>
      <x:c r="AF16" s="58" t="str">
        <x:f>IF(AE16=1,"可分析","需检查")</x:f>
        <x:v>可分析</x:v>
      </x:c>
    </x:row>
  </x:sheetData>
  <x:mergeCells>
    <x:mergeCell ref="A1:AF2"/>
    <x:mergeCell ref="A3:Z3"/>
    <x:mergeCell ref="AA3:AF3"/>
  </x:mergeCells>
  <x:pageMargins left="0.7" right="0.7" top="0.75" bottom="0.75" header="0.3" footer="0.3"/>
  <x:tableParts count="1">
    <x:tablePart xmlns:r="http://schemas.openxmlformats.org/officeDocument/2006/relationships" r:id="R46b814dba96d4b00"/>
  </x:tableParts>
</x:worksheet>
</file>
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4a5231fa6d4a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b799095191df49ff"/>
    <x:sheet xmlns:r="http://schemas.openxmlformats.org/officeDocument/2006/relationships" name="输入模板" sheetId="2" r:id="R25db08cc1dc34b56"/>
    <x:sheet xmlns:r="http://schemas.openxmlformats.org/officeDocument/2006/relationships" name="演示数据" sheetId="3" r:id="Rebd8aa06f9e04873"/>
    <x:sheet xmlns:r="http://schemas.openxmlformats.org/officeDocument/2006/relationships" name="人工金标" sheetId="4" r:id="R74c23802fe3f4125"/>
    <x:sheet xmlns:r="http://schemas.openxmlformats.org/officeDocument/2006/relationships" name="标签字典" sheetId="5" r:id="R16d80b7d4302411d"/>
    <x:sheet xmlns:r="http://schemas.openxmlformats.org/officeDocument/2006/relationships" name="字段字典" sheetId="6" r:id="Rd316f31e7a944a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yyyy-mm-dd"/>
    <x:numFmt numFmtId="201" formatCode="#,##0"/>
    <x:numFmt numFmtId="202" formatCode="0.0%"/>
    <x:numFmt numFmtId="203" formatCode="0%"/>
    <x:numFmt numFmtId="204" formatCode="0"/>
    <x:numFmt numFmtId="205" formatCode="0.0"/>
    <x:numFmt numFmtId="206" formatCode="0.00"/>
  </x:numFmts>
  <x:fonts count="25">
    <x:font>
      <x:sz val="11"/>
      <x:name val="Carlito"/>
    </x:font>
    <x:font>
      <x:b/>
      <x:sz val="16"/>
      <x:color rgb="FFFFFFFF"/>
      <x:name val="Microsoft YaHei"/>
    </x:font>
    <x:font>
      <x:b/>
      <x:sz val="11"/>
      <x:color rgb="FF176B64"/>
      <x:name val="Carlito"/>
    </x:font>
    <x:font>
      <x:b/>
      <x:sz val="10"/>
      <x:color rgb="FFFFFFFF"/>
      <x:name val="Microsoft YaHei"/>
    </x:font>
    <x:font>
      <x:b/>
      <x:sz val="14"/>
      <x:color rgb="FF172A46"/>
      <x:name val="Carlito"/>
    </x:font>
    <x:font>
      <x:b/>
      <x:sz val="11"/>
      <x:color rgb="FF6C5CE7"/>
      <x:name val="Carlito"/>
    </x:font>
    <x:font>
      <x:sz val="9"/>
      <x:color rgb="FF1D2939"/>
      <x:name val="Microsoft YaHei"/>
    </x:font>
    <x:font>
      <x:sz val="11"/>
      <x:color rgb="FF8A5A00"/>
      <x:name val="Carlito"/>
    </x:font>
    <x:font>
      <x:b/>
      <x:sz val="11"/>
      <x:color rgb="FF755B00"/>
      <x:name val="Carlito"/>
    </x:font>
    <x:font>
      <x:b/>
      <x:sz val="11"/>
      <x:color rgb="FF667085"/>
      <x:name val="Carlito"/>
    </x:font>
    <x:font>
      <x:b/>
      <x:sz val="11"/>
      <x:color rgb="FF8A5A00"/>
      <x:name val="Carlito"/>
    </x:font>
    <x:font>
      <x:b/>
      <x:sz val="11"/>
      <x:color rgb="FFD94A4A"/>
      <x:name val="Carlito"/>
    </x:font>
    <x:font>
      <x:b/>
      <x:sz val="9"/>
      <x:color rgb="FF172A46"/>
      <x:name val="Microsoft YaHei"/>
    </x:font>
    <x:font>
      <x:b/>
      <x:sz val="9"/>
      <x:color rgb="FF176B64"/>
      <x:name val="Microsoft YaHei"/>
    </x:font>
    <x:font>
      <x:b/>
      <x:sz val="11"/>
      <x:color rgb="FF172A46"/>
      <x:name val="Carlito"/>
    </x:font>
    <x:font>
      <x:sz val="11"/>
      <x:name val="Microsoft YaHei"/>
    </x:font>
    <x:font>
      <x:b/>
      <x:sz val="11"/>
      <x:color rgb="FF176B64"/>
      <x:name val="Microsoft YaHei"/>
    </x:font>
    <x:font>
      <x:b/>
      <x:sz val="14"/>
      <x:color rgb="FF172A46"/>
      <x:name val="Microsoft YaHei"/>
    </x:font>
    <x:font>
      <x:b/>
      <x:sz val="11"/>
      <x:color rgb="FF6C5CE7"/>
      <x:name val="Microsoft YaHei"/>
    </x:font>
    <x:font>
      <x:sz val="11"/>
      <x:color rgb="FF8A5A00"/>
      <x:name val="Microsoft YaHei"/>
    </x:font>
    <x:font>
      <x:b/>
      <x:sz val="11"/>
      <x:color rgb="FF755B00"/>
      <x:name val="Microsoft YaHei"/>
    </x:font>
    <x:font>
      <x:b/>
      <x:sz val="11"/>
      <x:color rgb="FF667085"/>
      <x:name val="Microsoft YaHei"/>
    </x:font>
    <x:font>
      <x:b/>
      <x:sz val="11"/>
      <x:color rgb="FF8A5A00"/>
      <x:name val="Microsoft YaHei"/>
    </x:font>
    <x:font>
      <x:b/>
      <x:sz val="11"/>
      <x:color rgb="FFD94A4A"/>
      <x:name val="Microsoft YaHei"/>
    </x:font>
    <x:font>
      <x:b/>
      <x:sz val="11"/>
      <x:color rgb="FF172A46"/>
      <x:name val="Microsoft YaHei"/>
    </x:font>
  </x:fonts>
  <x:fills count="15">
    <x:fill>
      <x:patternFill patternType="none"/>
    </x:fill>
    <x:fill>
      <x:patternFill patternType="gray125"/>
    </x:fill>
    <x:fill>
      <x:patternFill patternType="solid">
        <x:fgColor rgb="FF172A46"/>
      </x:patternFill>
    </x:fill>
    <x:fill>
      <x:patternFill patternType="solid">
        <x:fgColor rgb="FFDDF5F2"/>
      </x:patternFill>
    </x:fill>
    <x:fill>
      <x:patternFill patternType="solid">
        <x:fgColor rgb="FF13A89E"/>
      </x:patternFill>
    </x:fill>
    <x:fill>
      <x:patternFill patternType="solid">
        <x:fgColor rgb="FFF7F9FC"/>
      </x:patternFill>
    </x:fill>
    <x:fill>
      <x:patternFill patternType="solid">
        <x:fgColor rgb="FF6C5CE7"/>
      </x:patternFill>
    </x:fill>
    <x:fill>
      <x:patternFill patternType="solid">
        <x:fgColor rgb="FFEEEAFE"/>
      </x:patternFill>
    </x:fill>
    <x:fill>
      <x:patternFill patternType="solid">
        <x:fgColor rgb="FF223B63"/>
      </x:patternFill>
    </x:fill>
    <x:fill>
      <x:patternFill patternType="solid">
        <x:fgColor rgb="FFF59E0B"/>
      </x:patternFill>
    </x:fill>
    <x:fill>
      <x:patternFill patternType="solid">
        <x:fgColor rgb="FFFFF3D6"/>
      </x:patternFill>
    </x:fill>
    <x:fill>
      <x:patternFill patternType="solid">
        <x:fgColor rgb="FFFFF8D9"/>
      </x:patternFill>
    </x:fill>
    <x:fill>
      <x:patternFill patternType="solid">
        <x:fgColor rgb="FFEEF2F7"/>
      </x:patternFill>
    </x:fill>
    <x:fill>
      <x:patternFill patternType="solid">
        <x:fgColor rgb="FFFDE8E8"/>
      </x:patternFill>
    </x:fill>
    <x:fill>
      <x:patternFill patternType="solid">
        <x:fgColor rgb="FFEAF1FA"/>
      </x:patternFill>
    </x:fill>
  </x:fills>
  <x:borders count="7">
    <x:border/>
    <x:border>
      <x:right style="thin">
        <x:color rgb="FFFFFFFF"/>
      </x:right>
    </x:border>
    <x:border>
      <x:left style="thin">
        <x:color rgb="FFFFFFFF"/>
      </x:left>
    </x:border>
    <x:border>
      <x:bottom style="thin">
        <x:color rgb="FFDDE4ED"/>
      </x:bottom>
    </x:border>
    <x:border>
      <x:top style="thin">
        <x:color rgb="FFDDE4ED"/>
      </x:top>
      <x:bottom style="thin">
        <x:color rgb="FFDDE4ED"/>
      </x:bottom>
    </x:border>
    <x:border>
      <x:top style="thin">
        <x:color rgb="FFDDE4ED"/>
      </x:top>
    </x:border>
    <x:border>
      <x:left style="thin">
        <x:color rgb="FFFFFFFF"/>
      </x:left>
      <x:right style="thin">
        <x:color rgb="FFFFFFFF"/>
      </x:right>
    </x:border>
  </x:borders>
  <x:cellStyleXfs count="1">
    <x:xf numFmtId="0" fontId="0" fillId="0" borderId="0"/>
  </x:cellStyleXfs>
  <x:cellXfs count="19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0" fillId="5" borderId="3" xfId="0" applyNumberFormat="1" applyFont="1" applyFill="1" applyBorder="1"/>
    <x:xf numFmtId="0" fontId="0" fillId="5" borderId="4" xfId="0" applyNumberFormat="1" applyFont="1" applyFill="1" applyBorder="1"/>
    <x:xf numFmtId="0" fontId="0" fillId="5" borderId="5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3" xfId="0" applyNumberFormat="1" applyFont="1" applyFill="1" applyBorder="1" applyAlignment="1">
      <x:alignment horizontal="center"/>
    </x:xf>
    <x:xf numFmtId="0" fontId="4" fillId="5" borderId="4" xfId="0" applyNumberFormat="1" applyFont="1" applyFill="1" applyBorder="1" applyAlignment="1">
      <x:alignment horizontal="center"/>
    </x:xf>
    <x:xf numFmtId="0" fontId="4" fillId="5" borderId="5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1" xfId="0" applyNumberFormat="1" applyFont="1" applyFill="1" applyBorder="1"/>
    <x:xf numFmtId="0" fontId="3" fillId="6" borderId="6" xfId="0" applyNumberFormat="1" applyFont="1" applyFill="1" applyBorder="1"/>
    <x:xf numFmtId="0" fontId="3" fillId="6" borderId="2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6" xfId="0" applyNumberFormat="1" applyFont="1" applyFill="1" applyBorder="1" applyAlignment="1">
      <x:alignment wrapText="1"/>
    </x:xf>
    <x:xf numFmtId="0" fontId="3" fillId="6" borderId="2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horizontal="center" wrapText="1"/>
    </x:xf>
    <x:xf numFmtId="0" fontId="3" fillId="6" borderId="6" xfId="0" applyNumberFormat="1" applyFont="1" applyFill="1" applyBorder="1" applyAlignment="1">
      <x:alignment horizontal="center" wrapText="1"/>
    </x:xf>
    <x:xf numFmtId="0" fontId="3" fillId="6" borderId="2" xfId="0" applyNumberFormat="1" applyFont="1" applyFill="1" applyBorder="1" applyAlignment="1">
      <x:alignment horizontal="center" wrapText="1"/>
    </x:xf>
    <x:xf numFmtId="0" fontId="3" fillId="6" borderId="1" xfId="0" applyNumberFormat="1" applyFont="1" applyFill="1" applyBorder="1" applyAlignment="1">
      <x:alignment horizontal="center" vertical="center" wrapText="1"/>
    </x:xf>
    <x:xf numFmtId="0" fontId="3" fillId="6" borderId="6" xfId="0" applyNumberFormat="1" applyFont="1" applyFill="1" applyBorder="1" applyAlignment="1">
      <x:alignment horizontal="center" vertical="center" wrapText="1"/>
    </x:xf>
    <x:xf numFmtId="0" fontId="3" fillId="6" borderId="2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/>
    </x:xf>
    <x:xf numFmtId="0" fontId="5" fillId="7" borderId="3" xfId="0" applyNumberFormat="1" applyFont="1" applyFill="1" applyBorder="1" applyAlignment="1">
      <x:alignment horizontal="center"/>
    </x:xf>
    <x:xf numFmtId="0" fontId="0" fillId="0" borderId="3" xfId="0" applyNumberFormat="1" applyFont="1" applyFill="1" applyBorder="1"/>
    <x:xf numFmtId="0" fontId="5" fillId="7" borderId="4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/>
    <x:xf numFmtId="0" fontId="5" fillId="7" borderId="5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/>
    <x:xf numFmtId="0" fontId="5" fillId="7" borderId="3" xfId="0" applyNumberFormat="1" applyFont="1" applyFill="1" applyBorder="1" applyAlignment="1">
      <x:alignment horizontal="center" wrapText="1"/>
    </x:xf>
    <x:xf numFmtId="0" fontId="0" fillId="0" borderId="3" xfId="0" applyNumberFormat="1" applyFont="1" applyFill="1" applyBorder="1" applyAlignment="1">
      <x:alignment wrapText="1"/>
    </x:xf>
    <x:xf numFmtId="0" fontId="5" fillId="7" borderId="4" xfId="0" applyNumberFormat="1" applyFont="1" applyFill="1" applyBorder="1" applyAlignment="1">
      <x:alignment horizontal="center" wrapText="1"/>
    </x:xf>
    <x:xf numFmtId="0" fontId="0" fillId="0" borderId="4" xfId="0" applyNumberFormat="1" applyFont="1" applyFill="1" applyBorder="1" applyAlignment="1">
      <x:alignment wrapText="1"/>
    </x:xf>
    <x:xf numFmtId="0" fontId="5" fillId="7" borderId="5" xfId="0" applyNumberFormat="1" applyFont="1" applyFill="1" applyBorder="1" applyAlignment="1">
      <x:alignment horizontal="center" wrapText="1"/>
    </x:xf>
    <x:xf numFmtId="0" fontId="0" fillId="0" borderId="5" xfId="0" applyNumberFormat="1" applyFont="1" applyFill="1" applyBorder="1" applyAlignment="1">
      <x:alignment wrapText="1"/>
    </x:xf>
    <x:xf numFmtId="0" fontId="5" fillId="7" borderId="3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5" fillId="7" borderId="4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5" fillId="7" borderId="5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1" xfId="0" applyNumberFormat="1" applyFont="1" applyFill="1" applyBorder="1"/>
    <x:xf numFmtId="0" fontId="3" fillId="8" borderId="6" xfId="0" applyNumberFormat="1" applyFont="1" applyFill="1" applyBorder="1"/>
    <x:xf numFmtId="0" fontId="3" fillId="8" borderId="2" xfId="0" applyNumberFormat="1" applyFont="1" applyFill="1" applyBorder="1"/>
    <x:xf numFmtId="0" fontId="3" fillId="8" borderId="1" xfId="0" applyNumberFormat="1" applyFont="1" applyFill="1" applyBorder="1" applyAlignment="1">
      <x:alignment wrapText="1"/>
    </x:xf>
    <x:xf numFmtId="0" fontId="3" fillId="8" borderId="6" xfId="0" applyNumberFormat="1" applyFont="1" applyFill="1" applyBorder="1" applyAlignment="1">
      <x:alignment wrapText="1"/>
    </x:xf>
    <x:xf numFmtId="0" fontId="3" fillId="8" borderId="2" xfId="0" applyNumberFormat="1" applyFont="1" applyFill="1" applyBorder="1" applyAlignment="1">
      <x:alignment wrapText="1"/>
    </x:xf>
    <x:xf numFmtId="0" fontId="3" fillId="8" borderId="1" xfId="0" applyNumberFormat="1" applyFont="1" applyFill="1" applyBorder="1" applyAlignment="1">
      <x:alignment horizontal="center" wrapText="1"/>
    </x:xf>
    <x:xf numFmtId="0" fontId="3" fillId="8" borderId="6" xfId="0" applyNumberFormat="1" applyFont="1" applyFill="1" applyBorder="1" applyAlignment="1">
      <x:alignment horizontal="center" wrapText="1"/>
    </x:xf>
    <x:xf numFmtId="0" fontId="3" fillId="8" borderId="2" xfId="0" applyNumberFormat="1" applyFont="1" applyFill="1" applyBorder="1" applyAlignment="1">
      <x:alignment horizontal="center" wrapText="1"/>
    </x:xf>
    <x:xf numFmtId="0" fontId="3" fillId="8" borderId="1" xfId="0" applyNumberFormat="1" applyFont="1" applyFill="1" applyBorder="1" applyAlignment="1">
      <x:alignment horizontal="center" vertical="center" wrapText="1"/>
    </x:xf>
    <x:xf numFmtId="0" fontId="3" fillId="8" borderId="6" xfId="0" applyNumberFormat="1" applyFont="1" applyFill="1" applyBorder="1" applyAlignment="1">
      <x:alignment horizontal="center" vertical="center" wrapText="1"/>
    </x:xf>
    <x:xf numFmtId="0" fontId="3" fillId="8" borderId="2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/>
    <x:xf numFmtId="0" fontId="3" fillId="4" borderId="6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horizont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3" xfId="0" applyNumberFormat="1" applyFont="1" applyFill="1" applyBorder="1"/>
    <x:xf numFmtId="0" fontId="6" fillId="0" borderId="4" xfId="0" applyNumberFormat="1" applyFont="1" applyFill="1" applyBorder="1"/>
    <x:xf numFmtId="0" fontId="6" fillId="0" borderId="5" xfId="0" applyNumberFormat="1" applyFont="1" applyFill="1" applyBorder="1"/>
    <x:xf numFmtId="0" fontId="6" fillId="0" borderId="3" xfId="0" applyNumberFormat="1" applyFont="1" applyFill="1" applyBorder="1" applyAlignment="1">
      <x:alignment vertical="center"/>
    </x:xf>
    <x:xf numFmtId="0" fontId="6" fillId="0" borderId="4" xfId="0" applyNumberFormat="1" applyFont="1" applyFill="1" applyBorder="1" applyAlignment="1">
      <x:alignment vertical="center"/>
    </x:xf>
    <x:xf numFmtId="0" fontId="6" fillId="0" borderId="5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1" xfId="0" applyNumberFormat="1" applyFont="1" applyFill="1" applyBorder="1"/>
    <x:xf numFmtId="0" fontId="3" fillId="9" borderId="6" xfId="0" applyNumberFormat="1" applyFont="1" applyFill="1" applyBorder="1"/>
    <x:xf numFmtId="0" fontId="3" fillId="9" borderId="2" xfId="0" applyNumberFormat="1" applyFont="1" applyFill="1" applyBorder="1"/>
    <x:xf numFmtId="0" fontId="3" fillId="9" borderId="1" xfId="0" applyNumberFormat="1" applyFont="1" applyFill="1" applyBorder="1" applyAlignment="1">
      <x:alignment wrapText="1"/>
    </x:xf>
    <x:xf numFmtId="0" fontId="3" fillId="9" borderId="6" xfId="0" applyNumberFormat="1" applyFont="1" applyFill="1" applyBorder="1" applyAlignment="1">
      <x:alignment wrapText="1"/>
    </x:xf>
    <x:xf numFmtId="0" fontId="3" fillId="9" borderId="2" xfId="0" applyNumberFormat="1" applyFont="1" applyFill="1" applyBorder="1" applyAlignment="1">
      <x:alignment wrapText="1"/>
    </x:xf>
    <x:xf numFmtId="0" fontId="3" fillId="9" borderId="1" xfId="0" applyNumberFormat="1" applyFont="1" applyFill="1" applyBorder="1" applyAlignment="1">
      <x:alignment horizontal="center" wrapText="1"/>
    </x:xf>
    <x:xf numFmtId="0" fontId="3" fillId="9" borderId="6" xfId="0" applyNumberFormat="1" applyFont="1" applyFill="1" applyBorder="1" applyAlignment="1">
      <x:alignment horizontal="center" wrapText="1"/>
    </x:xf>
    <x:xf numFmtId="0" fontId="3" fillId="9" borderId="2" xfId="0" applyNumberFormat="1" applyFont="1" applyFill="1" applyBorder="1" applyAlignment="1">
      <x:alignment horizontal="center" wrapText="1"/>
    </x:xf>
    <x:xf numFmtId="0" fontId="3" fillId="9" borderId="1" xfId="0" applyNumberFormat="1" applyFont="1" applyFill="1" applyBorder="1" applyAlignment="1">
      <x:alignment horizontal="center" vertical="center" wrapText="1"/>
    </x:xf>
    <x:xf numFmtId="0" fontId="3" fillId="9" borderId="6" xfId="0" applyNumberFormat="1" applyFont="1" applyFill="1" applyBorder="1" applyAlignment="1">
      <x:alignment horizontal="center" vertical="center" wrapText="1"/>
    </x:xf>
    <x:xf numFmtId="0" fontId="3" fillId="9" borderId="2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7" fillId="10" borderId="0" xfId="0" applyNumberFormat="1" applyFont="1" applyFill="1" applyBorder="1"/>
    <x:xf numFmtId="0" fontId="7" fillId="10" borderId="0" xfId="0" applyNumberFormat="1" applyFont="1" applyFill="1" applyBorder="1" applyAlignment="1">
      <x:alignment wrapText="1"/>
    </x:xf>
    <x:xf numFmtId="0" fontId="7" fillId="10" borderId="0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8" fillId="11" borderId="0" xfId="0" applyNumberFormat="1" applyFont="1" applyFill="1" applyBorder="1"/>
    <x:xf numFmtId="0" fontId="8" fillId="11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9" fillId="12" borderId="0" xfId="0" applyNumberFormat="1" applyFont="1" applyFill="1" applyBorder="1"/>
    <x:xf numFmtId="0" fontId="9" fillId="12" borderId="0" xfId="0" applyNumberFormat="1" applyFont="1" applyFill="1" applyBorder="1" applyAlignment="1">
      <x:alignment horizontal="center"/>
    </x:xf>
    <x:xf numFmtId="0" fontId="6" fillId="11" borderId="0" xfId="0" applyNumberFormat="1" applyFont="1" applyFill="1" applyBorder="1"/>
    <x:xf numFmtId="0" fontId="6" fillId="12" borderId="0" xfId="0" applyNumberFormat="1" applyFont="1" applyFill="1" applyBorder="1"/>
    <x:xf numFmtId="0" fontId="6" fillId="11" borderId="3" xfId="0" applyNumberFormat="1" applyFont="1" applyFill="1" applyBorder="1"/>
    <x:xf numFmtId="0" fontId="6" fillId="12" borderId="3" xfId="0" applyNumberFormat="1" applyFont="1" applyFill="1" applyBorder="1"/>
    <x:xf numFmtId="0" fontId="6" fillId="11" borderId="4" xfId="0" applyNumberFormat="1" applyFont="1" applyFill="1" applyBorder="1"/>
    <x:xf numFmtId="0" fontId="6" fillId="12" borderId="4" xfId="0" applyNumberFormat="1" applyFont="1" applyFill="1" applyBorder="1"/>
    <x:xf numFmtId="0" fontId="6" fillId="11" borderId="5" xfId="0" applyNumberFormat="1" applyFont="1" applyFill="1" applyBorder="1"/>
    <x:xf numFmtId="0" fontId="6" fillId="12" borderId="5" xfId="0" applyNumberFormat="1" applyFont="1" applyFill="1" applyBorder="1"/>
    <x:xf numFmtId="0" fontId="6" fillId="11" borderId="3" xfId="0" applyNumberFormat="1" applyFont="1" applyFill="1" applyBorder="1" applyAlignment="1">
      <x:alignment vertical="center"/>
    </x:xf>
    <x:xf numFmtId="0" fontId="6" fillId="12" borderId="3" xfId="0" applyNumberFormat="1" applyFont="1" applyFill="1" applyBorder="1" applyAlignment="1">
      <x:alignment vertical="center"/>
    </x:xf>
    <x:xf numFmtId="0" fontId="6" fillId="11" borderId="4" xfId="0" applyNumberFormat="1" applyFont="1" applyFill="1" applyBorder="1" applyAlignment="1">
      <x:alignment vertical="center"/>
    </x:xf>
    <x:xf numFmtId="0" fontId="6" fillId="12" borderId="4" xfId="0" applyNumberFormat="1" applyFont="1" applyFill="1" applyBorder="1" applyAlignment="1">
      <x:alignment vertical="center"/>
    </x:xf>
    <x:xf numFmtId="0" fontId="6" fillId="11" borderId="5" xfId="0" applyNumberFormat="1" applyFont="1" applyFill="1" applyBorder="1" applyAlignment="1">
      <x:alignment vertical="center"/>
    </x:xf>
    <x:xf numFmtId="0" fontId="6" fillId="12" borderId="5" xfId="0" applyNumberFormat="1" applyFont="1" applyFill="1" applyBorder="1" applyAlignment="1">
      <x:alignment vertical="center"/>
    </x:xf>
    <x:xf numFmtId="200" fontId="6" fillId="11" borderId="3" xfId="0" applyNumberFormat="1" applyFont="1" applyFill="1" applyBorder="1" applyAlignment="1">
      <x:alignment vertical="center"/>
    </x:xf>
    <x:xf numFmtId="200" fontId="6" fillId="11" borderId="4" xfId="0" applyNumberFormat="1" applyFont="1" applyFill="1" applyBorder="1" applyAlignment="1">
      <x:alignment vertical="center"/>
    </x:xf>
    <x:xf numFmtId="200" fontId="6" fillId="11" borderId="5" xfId="0" applyNumberFormat="1" applyFont="1" applyFill="1" applyBorder="1" applyAlignment="1">
      <x:alignment vertical="center"/>
    </x:xf>
    <x:xf numFmtId="201" fontId="6" fillId="11" borderId="3" xfId="0" applyNumberFormat="1" applyFont="1" applyFill="1" applyBorder="1" applyAlignment="1">
      <x:alignment vertical="center"/>
    </x:xf>
    <x:xf numFmtId="201" fontId="6" fillId="11" borderId="4" xfId="0" applyNumberFormat="1" applyFont="1" applyFill="1" applyBorder="1" applyAlignment="1">
      <x:alignment vertical="center"/>
    </x:xf>
    <x:xf numFmtId="201" fontId="6" fillId="11" borderId="5" xfId="0" applyNumberFormat="1" applyFont="1" applyFill="1" applyBorder="1" applyAlignment="1">
      <x:alignment vertical="center"/>
    </x:xf>
    <x:xf numFmtId="202" fontId="6" fillId="11" borderId="3" xfId="0" applyNumberFormat="1" applyFont="1" applyFill="1" applyBorder="1" applyAlignment="1">
      <x:alignment vertical="center"/>
    </x:xf>
    <x:xf numFmtId="202" fontId="6" fillId="11" borderId="4" xfId="0" applyNumberFormat="1" applyFont="1" applyFill="1" applyBorder="1" applyAlignment="1">
      <x:alignment vertical="center"/>
    </x:xf>
    <x:xf numFmtId="202" fontId="6" fillId="11" borderId="5" xfId="0" applyNumberFormat="1" applyFont="1" applyFill="1" applyBorder="1" applyAlignment="1">
      <x:alignment vertical="center"/>
    </x:xf>
    <x:xf numFmtId="202" fontId="6" fillId="12" borderId="3" xfId="0" applyNumberFormat="1" applyFont="1" applyFill="1" applyBorder="1" applyAlignment="1">
      <x:alignment vertical="center"/>
    </x:xf>
    <x:xf numFmtId="202" fontId="6" fillId="12" borderId="4" xfId="0" applyNumberFormat="1" applyFont="1" applyFill="1" applyBorder="1" applyAlignment="1">
      <x:alignment vertical="center"/>
    </x:xf>
    <x:xf numFmtId="202" fontId="6" fillId="12" borderId="5" xfId="0" applyNumberFormat="1" applyFont="1" applyFill="1" applyBorder="1" applyAlignment="1">
      <x:alignment vertical="center"/>
    </x:xf>
    <x:xf numFmtId="203" fontId="6" fillId="12" borderId="3" xfId="0" applyNumberFormat="1" applyFont="1" applyFill="1" applyBorder="1" applyAlignment="1">
      <x:alignment vertical="center"/>
    </x:xf>
    <x:xf numFmtId="203" fontId="6" fillId="12" borderId="4" xfId="0" applyNumberFormat="1" applyFont="1" applyFill="1" applyBorder="1" applyAlignment="1">
      <x:alignment vertical="center"/>
    </x:xf>
    <x:xf numFmtId="203" fontId="6" fillId="12" borderId="5" xfId="0" applyNumberFormat="1" applyFont="1" applyFill="1" applyBorder="1" applyAlignment="1">
      <x:alignment vertical="center"/>
    </x:xf>
    <x:xf numFmtId="204" fontId="6" fillId="11" borderId="3" xfId="0" applyNumberFormat="1" applyFont="1" applyFill="1" applyBorder="1" applyAlignment="1">
      <x:alignment vertical="center"/>
    </x:xf>
    <x:xf numFmtId="204" fontId="6" fillId="11" borderId="4" xfId="0" applyNumberFormat="1" applyFont="1" applyFill="1" applyBorder="1" applyAlignment="1">
      <x:alignment vertical="center"/>
    </x:xf>
    <x:xf numFmtId="204" fontId="6" fillId="11" borderId="5" xfId="0" applyNumberFormat="1" applyFont="1" applyFill="1" applyBorder="1" applyAlignment="1">
      <x:alignment vertical="center"/>
    </x:xf>
    <x:xf numFmtId="205" fontId="6" fillId="11" borderId="3" xfId="0" applyNumberFormat="1" applyFont="1" applyFill="1" applyBorder="1" applyAlignment="1">
      <x:alignment vertical="center"/>
    </x:xf>
    <x:xf numFmtId="205" fontId="6" fillId="11" borderId="4" xfId="0" applyNumberFormat="1" applyFont="1" applyFill="1" applyBorder="1" applyAlignment="1">
      <x:alignment vertical="center"/>
    </x:xf>
    <x:xf numFmtId="205" fontId="6" fillId="11" borderId="5" xfId="0" applyNumberFormat="1" applyFont="1" applyFill="1" applyBorder="1" applyAlignment="1">
      <x:alignment vertical="center"/>
    </x:xf>
    <x:xf numFmtId="0" fontId="6" fillId="11" borderId="3" xfId="0" applyNumberFormat="1" applyFont="1" applyFill="1" applyBorder="1" applyAlignment="1">
      <x:alignment vertical="center" wrapText="1"/>
    </x:xf>
    <x:xf numFmtId="0" fontId="6" fillId="11" borderId="4" xfId="0" applyNumberFormat="1" applyFont="1" applyFill="1" applyBorder="1" applyAlignment="1">
      <x:alignment vertical="center" wrapText="1"/>
    </x:xf>
    <x:xf numFmtId="0" fontId="6" fillId="11" borderId="5" xfId="0" applyNumberFormat="1" applyFont="1" applyFill="1" applyBorder="1" applyAlignment="1">
      <x:alignment vertical="center" wrapText="1"/>
    </x:xf>
    <x:xf numFmtId="0" fontId="10" fillId="10" borderId="0" xfId="0" applyNumberFormat="1" applyFont="1" applyFill="1" applyBorder="1"/>
    <x:xf numFmtId="206" fontId="6" fillId="0" borderId="3" xfId="0" applyNumberFormat="1" applyFont="1" applyFill="1" applyBorder="1" applyAlignment="1">
      <x:alignment vertical="center"/>
    </x:xf>
    <x:xf numFmtId="206" fontId="6" fillId="0" borderId="4" xfId="0" applyNumberFormat="1" applyFont="1" applyFill="1" applyBorder="1" applyAlignment="1">
      <x:alignment vertical="center"/>
    </x:xf>
    <x:xf numFmtId="206" fontId="6" fillId="0" borderId="5" xfId="0" applyNumberFormat="1" applyFont="1" applyFill="1" applyBorder="1" applyAlignment="1">
      <x:alignment vertical="center"/>
    </x:xf>
    <x:xf numFmtId="0" fontId="6" fillId="0" borderId="3" xfId="0" applyNumberFormat="1" applyFont="1" applyFill="1" applyBorder="1" applyAlignment="1">
      <x:alignment vertical="center" wrapText="1"/>
    </x:xf>
    <x:xf numFmtId="0" fontId="6" fillId="0" borderId="4" xfId="0" applyNumberFormat="1" applyFont="1" applyFill="1" applyBorder="1" applyAlignment="1">
      <x:alignment vertical="center" wrapText="1"/>
    </x:xf>
    <x:xf numFmtId="0" fontId="6" fillId="0" borderId="5" xfId="0" applyNumberFormat="1" applyFont="1" applyFill="1" applyBorder="1" applyAlignment="1">
      <x:alignment vertical="center" wrapText="1"/>
    </x:xf>
    <x:xf numFmtId="0" fontId="0" fillId="13" borderId="0" xfId="0" applyNumberFormat="1" applyFont="1" applyFill="1" applyBorder="1"/>
    <x:xf numFmtId="0" fontId="11" fillId="13" borderId="0" xfId="0" applyNumberFormat="1" applyFont="1" applyFill="1" applyBorder="1"/>
    <x:xf numFmtId="0" fontId="11" fillId="13" borderId="0" xfId="0" applyNumberFormat="1" applyFont="1" applyFill="1" applyBorder="1" applyAlignment="1">
      <x:alignment wrapText="1"/>
    </x:xf>
    <x:xf numFmtId="0" fontId="12" fillId="0" borderId="3" xfId="0" applyNumberFormat="1" applyFont="1" applyFill="1" applyBorder="1" applyAlignment="1">
      <x:alignment vertical="center"/>
    </x:xf>
    <x:xf numFmtId="0" fontId="12" fillId="0" borderId="4" xfId="0" applyNumberFormat="1" applyFont="1" applyFill="1" applyBorder="1" applyAlignment="1">
      <x:alignment vertical="center"/>
    </x:xf>
    <x:xf numFmtId="0" fontId="12" fillId="0" borderId="5" xfId="0" applyNumberFormat="1" applyFont="1" applyFill="1" applyBorder="1" applyAlignment="1">
      <x:alignment vertical="center"/>
    </x:xf>
    <x:xf numFmtId="0" fontId="6" fillId="3" borderId="3" xfId="0" applyNumberFormat="1" applyFont="1" applyFill="1" applyBorder="1" applyAlignment="1">
      <x:alignment vertical="center"/>
    </x:xf>
    <x:xf numFmtId="0" fontId="6" fillId="3" borderId="4" xfId="0" applyNumberFormat="1" applyFont="1" applyFill="1" applyBorder="1" applyAlignment="1">
      <x:alignment vertical="center"/>
    </x:xf>
    <x:xf numFmtId="0" fontId="6" fillId="3" borderId="5" xfId="0" applyNumberFormat="1" applyFont="1" applyFill="1" applyBorder="1" applyAlignment="1">
      <x:alignment vertical="center"/>
    </x:xf>
    <x:xf numFmtId="0" fontId="13" fillId="3" borderId="3" xfId="0" applyNumberFormat="1" applyFont="1" applyFill="1" applyBorder="1" applyAlignment="1">
      <x:alignment vertical="center"/>
    </x:xf>
    <x:xf numFmtId="0" fontId="13" fillId="3" borderId="4" xfId="0" applyNumberFormat="1" applyFont="1" applyFill="1" applyBorder="1" applyAlignment="1">
      <x:alignment vertical="center"/>
    </x:xf>
    <x:xf numFmtId="0" fontId="13" fillId="3" borderId="5" xfId="0" applyNumberFormat="1" applyFont="1" applyFill="1" applyBorder="1" applyAlignment="1">
      <x:alignment vertical="center"/>
    </x:xf>
    <x:xf numFmtId="0" fontId="0" fillId="14" borderId="0" xfId="0" applyNumberFormat="1" applyFont="1" applyFill="1" applyBorder="1"/>
    <x:xf numFmtId="0" fontId="14" fillId="14" borderId="0" xfId="0" applyNumberFormat="1" applyFont="1" applyFill="1" applyBorder="1"/>
    <x:xf numFmtId="0" fontId="14" fillId="14" borderId="0" xfId="0" applyNumberFormat="1" applyFont="1" applyFill="1" applyBorder="1" applyAlignment="1">
      <x:alignment wrapText="1"/>
    </x:xf>
    <x:xf numFmtId="0" fontId="15" fillId="0" borderId="0" xfId="0" applyNumberFormat="1" applyFont="1" applyFill="1" applyBorder="1"/>
    <x:xf numFmtId="0" fontId="16" fillId="3" borderId="0" xfId="0" applyNumberFormat="1" applyFont="1" applyFill="1" applyBorder="1" applyAlignment="1">
      <x:alignment vertical="center"/>
    </x:xf>
    <x:xf numFmtId="0" fontId="15" fillId="5" borderId="3" xfId="0" applyNumberFormat="1" applyFont="1" applyFill="1" applyBorder="1"/>
    <x:xf numFmtId="0" fontId="17" fillId="5" borderId="3" xfId="0" applyNumberFormat="1" applyFont="1" applyFill="1" applyBorder="1" applyAlignment="1">
      <x:alignment horizontal="center"/>
    </x:xf>
    <x:xf numFmtId="0" fontId="18" fillId="7" borderId="3" xfId="0" applyNumberFormat="1" applyFont="1" applyFill="1" applyBorder="1" applyAlignment="1">
      <x:alignment horizontal="center" vertical="center" wrapText="1"/>
    </x:xf>
    <x:xf numFmtId="0" fontId="15" fillId="0" borderId="3" xfId="0" applyNumberFormat="1" applyFont="1" applyFill="1" applyBorder="1" applyAlignment="1">
      <x:alignment vertical="center" wrapText="1"/>
    </x:xf>
    <x:xf numFmtId="0" fontId="15" fillId="5" borderId="4" xfId="0" applyNumberFormat="1" applyFont="1" applyFill="1" applyBorder="1"/>
    <x:xf numFmtId="0" fontId="17" fillId="5" borderId="4" xfId="0" applyNumberFormat="1" applyFont="1" applyFill="1" applyBorder="1" applyAlignment="1">
      <x:alignment horizontal="center"/>
    </x:xf>
    <x:xf numFmtId="0" fontId="18" fillId="7" borderId="4" xfId="0" applyNumberFormat="1" applyFont="1" applyFill="1" applyBorder="1" applyAlignment="1">
      <x:alignment horizontal="center" vertical="center" wrapText="1"/>
    </x:xf>
    <x:xf numFmtId="0" fontId="15" fillId="0" borderId="4" xfId="0" applyNumberFormat="1" applyFont="1" applyFill="1" applyBorder="1" applyAlignment="1">
      <x:alignment vertical="center" wrapText="1"/>
    </x:xf>
    <x:xf numFmtId="0" fontId="15" fillId="5" borderId="5" xfId="0" applyNumberFormat="1" applyFont="1" applyFill="1" applyBorder="1"/>
    <x:xf numFmtId="0" fontId="17" fillId="5" borderId="5" xfId="0" applyNumberFormat="1" applyFont="1" applyFill="1" applyBorder="1" applyAlignment="1">
      <x:alignment horizontal="center"/>
    </x:xf>
    <x:xf numFmtId="0" fontId="18" fillId="7" borderId="5" xfId="0" applyNumberFormat="1" applyFont="1" applyFill="1" applyBorder="1" applyAlignment="1">
      <x:alignment horizontal="center" vertical="center" wrapText="1"/>
    </x:xf>
    <x:xf numFmtId="0" fontId="15" fillId="0" borderId="5" xfId="0" applyNumberFormat="1" applyFont="1" applyFill="1" applyBorder="1" applyAlignment="1">
      <x:alignment vertical="center" wrapText="1"/>
    </x:xf>
    <x:xf numFmtId="0" fontId="19" fillId="10" borderId="0" xfId="0" applyNumberFormat="1" applyFont="1" applyFill="1" applyBorder="1" applyAlignment="1">
      <x:alignment vertical="center" wrapText="1"/>
    </x:xf>
    <x:xf numFmtId="0" fontId="20" fillId="11" borderId="0" xfId="0" applyNumberFormat="1" applyFont="1" applyFill="1" applyBorder="1" applyAlignment="1">
      <x:alignment wrapText="1"/>
    </x:xf>
    <x:xf numFmtId="0" fontId="21" fillId="12" borderId="0" xfId="0" applyNumberFormat="1" applyFont="1" applyFill="1" applyBorder="1" applyAlignment="1">
      <x:alignment horizontal="center"/>
    </x:xf>
    <x:xf numFmtId="0" fontId="22" fillId="10" borderId="0" xfId="0" applyNumberFormat="1" applyFont="1" applyFill="1" applyBorder="1"/>
    <x:xf numFmtId="0" fontId="23" fillId="13" borderId="0" xfId="0" applyNumberFormat="1" applyFont="1" applyFill="1" applyBorder="1" applyAlignment="1">
      <x:alignment wrapText="1"/>
    </x:xf>
    <x:xf numFmtId="0" fontId="24" fillId="14" borderId="0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b/>
        <x:color rgb="FF2E9B6F"/>
      </x:font>
      <x:fill>
        <x:patternFill patternType="solid">
          <x:bgColor rgb="FFE4F5EC"/>
        </x:patternFill>
      </x:fill>
    </x:dxf>
    <x:dxf>
      <x:font>
        <x:b/>
        <x:color rgb="FFD94A4A"/>
      </x:font>
      <x:fill>
        <x:patternFill patternType="solid">
          <x:bgColor rgb="FFFDE8E8"/>
        </x:patternFill>
      </x:fill>
    </x:dxf>
    <x:dxf>
      <x:font>
        <x:b/>
        <x:color rgb="FF2E9B6F"/>
      </x:font>
      <x:fill>
        <x:patternFill patternType="solid">
          <x:bgColor rgb="FFE4F5EC"/>
        </x:patternFill>
      </x:fill>
    </x:dxf>
    <x:dxf>
      <x:font>
        <x:b/>
        <x:color rgb="FFD94A4A"/>
      </x:font>
      <x:fill>
        <x:patternFill patternType="solid">
          <x:bgColor rgb="FFFDE8E8"/>
        </x:patternFill>
      </x:fill>
    </x:dxf>
    <x:dxf>
      <x:font>
        <x:b/>
        <x:color rgb="FF8A5A00"/>
      </x:font>
      <x:fill>
        <x:patternFill patternType="solid">
          <x:bgColor rgb="FFFFF3D6"/>
        </x:patternFill>
      </x:fill>
    </x:dxf>
    <x:dxf>
      <x:font>
        <x:b/>
        <x:color rgb="FF667085"/>
      </x:font>
      <x:fill>
        <x:patternFill patternType="solid">
          <x:bgColor rgb="FFEEF2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66865de69f49cd" /><Relationship Type="http://schemas.openxmlformats.org/officeDocument/2006/relationships/theme" Target="/xl/theme/theme1.xml" Id="Rebd8d7f8f60d4f8e" /><Relationship Type="http://schemas.openxmlformats.org/officeDocument/2006/relationships/sharedStrings" Target="/xl/sharedStrings.xml" Id="R2f8418e9a7cc41e0" /><Relationship Type="http://schemas.openxmlformats.org/officeDocument/2006/relationships/worksheet" Target="/xl/worksheets/sheet1.xml" Id="Rb799095191df49ff" /><Relationship Type="http://schemas.openxmlformats.org/officeDocument/2006/relationships/worksheet" Target="/xl/worksheets/sheet2.xml" Id="R25db08cc1dc34b56" /><Relationship Type="http://schemas.openxmlformats.org/officeDocument/2006/relationships/worksheet" Target="/xl/worksheets/sheet3.xml" Id="Rebd8aa06f9e04873" /><Relationship Type="http://schemas.openxmlformats.org/officeDocument/2006/relationships/worksheet" Target="/xl/worksheets/sheet4.xml" Id="R74c23802fe3f4125" /><Relationship Type="http://schemas.openxmlformats.org/officeDocument/2006/relationships/worksheet" Target="/xl/worksheets/sheet5.xml" Id="R16d80b7d4302411d" /><Relationship Type="http://schemas.openxmlformats.org/officeDocument/2006/relationships/worksheet" Target="/xl/worksheets/sheet6.xml" Id="Rd316f31e7a944ad9" /></Relationships>
</file>

<file path=xl/tables/table1.xml><?xml version="1.0" encoding="utf-8"?>
<x:table xmlns:x="http://schemas.openxmlformats.org/spreadsheetml/2006/main" id="1" name="DemoDataTable" displayName="DemoDataTable" ref="A4:AF24" headerRowCount="1" totalsRowCount="0" totalsRowShown="0">
  <x:autoFilter ref="A4:AF24"/>
  <x:tableColumns count="32">
    <x:tableColumn id="1" name="video_id*"/>
    <x:tableColumn id="2" name="publish_date"/>
    <x:tableColumn id="3" name="product_name"/>
    <x:tableColumn id="4" name="category*"/>
    <x:tableColumn id="5" name="price_band"/>
    <x:tableColumn id="6" name="target_audience"/>
    <x:tableColumn id="7" name="title"/>
    <x:tableColumn id="8" name="script_or_subtitle"/>
    <x:tableColumn id="9" name="hook_text"/>
    <x:tableColumn id="10" name="duration_seconds"/>
    <x:tableColumn id="11" name="person_on_camera"/>
    <x:tableColumn id="12" name="scene_demo"/>
    <x:tableColumn id="13" name="product_closeup"/>
    <x:tableColumn id="14" name="before_after"/>
    <x:tableColumn id="15" name="views*"/>
    <x:tableColumn id="16" name="likes"/>
    <x:tableColumn id="17" name="comments"/>
    <x:tableColumn id="18" name="favorites"/>
    <x:tableColumn id="19" name="shares"/>
    <x:tableColumn id="20" name="completion_rate"/>
    <x:tableColumn id="21" name="avg_watch_time_seconds"/>
    <x:tableColumn id="22" name="five_sec_retention"/>
    <x:tableColumn id="23" name="product_clicks"/>
    <x:tableColumn id="24" name="orders"/>
    <x:tableColumn id="25" name="notes"/>
    <x:tableColumn id="26" name="source_url"/>
    <x:tableColumn id="27" name="engagement_rate[系统]"/>
    <x:tableColumn id="28" name="product_click_rate[系统]"/>
    <x:tableColumn id="29" name="conversion_rate[系统]"/>
    <x:tableColumn id="30" name="duration_band[系统]"/>
    <x:tableColumn id="31" name="data_quality_score[系统]"/>
    <x:tableColumn id="32" name="record_status[系统]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oldLabelsTable" displayName="GoldLabelsTable" ref="A4:N24" headerRowCount="1" totalsRowCount="0" totalsRowShown="0">
  <x:tableColumns count="14">
    <x:tableColumn id="1" name="video_id"/>
    <x:tableColumn id="2" name="hook_type"/>
    <x:tableColumn id="3" name="hook_evidence"/>
    <x:tableColumn id="4" name="content_structure"/>
    <x:tableColumn id="5" name="selling_points"/>
    <x:tableColumn id="6" name="cta_type"/>
    <x:tableColumn id="7" name="target_audience"/>
    <x:tableColumn id="8" name="person_on_camera"/>
    <x:tableColumn id="9" name="scene_demo"/>
    <x:tableColumn id="10" name="product_closeup"/>
    <x:tableColumn id="11" name="before_after"/>
    <x:tableColumn id="12" name="label_confidence"/>
    <x:tableColumn id="13" name="confidence_level"/>
    <x:tableColumn id="14" name="human_review_status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TagDictionaryTable" displayName="TagDictionaryTable" ref="A4:F41" headerRowCount="1" totalsRowCount="0" totalsRowShown="0">
  <x:tableColumns count="6">
    <x:tableColumn id="1" name="标签维度"/>
    <x:tableColumn id="2" name="字段名"/>
    <x:tableColumn id="3" name="枚举值"/>
    <x:tableColumn id="4" name="定义"/>
    <x:tableColumn id="5" name="正向判断"/>
    <x:tableColumn id="6" name="边界/禁止事项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ieldDictionaryTable" displayName="FieldDictionaryTable" ref="A4:J36" headerRowCount="1" totalsRowCount="0" totalsRowShown="0">
  <x:tableColumns count="10">
    <x:tableColumn id="1" name="字段组"/>
    <x:tableColumn id="2" name="字段名"/>
    <x:tableColumn id="3" name="中文名"/>
    <x:tableColumn id="4" name="必填"/>
    <x:tableColumn id="5" name="数据类型"/>
    <x:tableColumn id="6" name="来源"/>
    <x:tableColumn id="7" name="校验/枚举"/>
    <x:tableColumn id="8" name="示例"/>
    <x:tableColumn id="9" name="说明"/>
    <x:tableColumn id="10" name="使用节点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ea3da8da38f94fe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2254d2090530477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bb3fe92c1e374d8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d4e047736b15462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2.220000267028809" hidden="0" customWidth="1"/>
    <x:col min="3" max="3" width="2.6700000762939453" hidden="0" customWidth="1"/>
    <x:col min="4" max="4" width="5" hidden="0" customWidth="1"/>
    <x:col min="5" max="5" width="16.110000610351562" hidden="0" customWidth="1"/>
    <x:col min="6" max="6" width="13.329999923706055" hidden="0" customWidth="1"/>
    <x:col min="7" max="7" width="13.329999923706055" hidden="0" customWidth="1"/>
    <x:col min="8" max="8" width="13.329999923706055" hidden="0" customWidth="1"/>
    <x:col min="9" max="9" width="13.329999923706055" hidden="0" customWidth="1"/>
    <x:col min="10" max="10" width="13.329999923706055" hidden="0" customWidth="1"/>
  </x:cols>
  <x:sheetData>
    <x:row r="1" ht="52" customHeight="1">
      <x:c r="A1" s="4" t="str">
        <x:v>CreatorLens · Day 1 数据包
输入模板 · 20 条合成演示数据 · V1 标签字典 · Prompt 评测金标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52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3">
      <x:c r="A3" s="172"/>
      <x:c r="B3" s="172"/>
      <x:c r="C3" s="172"/>
      <x:c r="D3" s="172"/>
      <x:c r="E3" s="172"/>
      <x:c r="F3" s="172"/>
      <x:c r="G3" s="172"/>
      <x:c r="H3" s="172"/>
      <x:c r="I3" s="172"/>
      <x:c r="J3" s="172"/>
    </x:row>
    <x:row r="4" ht="28" customHeight="1">
      <x:c r="A4" s="173" t="str">
        <x:v>用途：支持 Day 2 数据导入、Day 3 结构化标签提取、Day 4 统计分析与后续 Prompt 评测。</x:v>
      </x:c>
      <x:c r="B4" s="173"/>
      <x:c r="C4" s="173"/>
      <x:c r="D4" s="173"/>
      <x:c r="E4" s="173"/>
      <x:c r="F4" s="173"/>
      <x:c r="G4" s="173"/>
      <x:c r="H4" s="173"/>
      <x:c r="I4" s="173"/>
      <x:c r="J4" s="173"/>
    </x:row>
    <x:row r="5">
      <x:c r="A5" s="172"/>
      <x:c r="B5" s="172"/>
      <x:c r="C5" s="172"/>
      <x:c r="D5" s="172"/>
      <x:c r="E5" s="172"/>
      <x:c r="F5" s="172"/>
      <x:c r="G5" s="172"/>
      <x:c r="H5" s="172"/>
      <x:c r="I5" s="172"/>
      <x:c r="J5" s="172"/>
    </x:row>
    <x:row r="6" ht="48" customHeight="1">
      <x:c r="A6" s="16" t="str">
        <x:v>检查项</x:v>
      </x:c>
      <x:c r="B6" s="17" t="str">
        <x:v>当前状态</x:v>
      </x:c>
      <x:c r="C6" s="172"/>
      <x:c r="D6" s="39" t="str">
        <x:v>怎么使用</x:v>
      </x:c>
      <x:c r="E6" s="40"/>
      <x:c r="F6" s="40"/>
      <x:c r="G6" s="40"/>
      <x:c r="H6" s="40"/>
      <x:c r="I6" s="40"/>
      <x:c r="J6" s="41"/>
    </x:row>
    <x:row r="7" ht="34" customHeight="1">
      <x:c r="A7" s="174" t="str">
        <x:v>演示记录数</x:v>
      </x:c>
      <x:c r="B7" s="175" t="n">
        <x:f>COUNTA('演示数据'!A5:A24)</x:f>
        <x:v>20</x:v>
      </x:c>
      <x:c r="C7" s="172"/>
      <x:c r="D7" s="176" t="str">
        <x:v>1</x:v>
      </x:c>
      <x:c r="E7" s="177" t="str">
        <x:v>先看“字段字典”，确认英文表头、数据类型和必填规则。</x:v>
      </x:c>
      <x:c r="F7" s="177"/>
      <x:c r="G7" s="177"/>
      <x:c r="H7" s="177"/>
      <x:c r="I7" s="177"/>
      <x:c r="J7" s="177"/>
    </x:row>
    <x:row r="8" ht="34" customHeight="1">
      <x:c r="A8" s="178" t="str">
        <x:v>可分析记录数</x:v>
      </x:c>
      <x:c r="B8" s="179" t="n">
        <x:f>COUNTIF('演示数据'!AF5:AF24,"可分析")</x:f>
        <x:v>20</x:v>
      </x:c>
      <x:c r="C8" s="172"/>
      <x:c r="D8" s="180" t="str">
        <x:v>2</x:v>
      </x:c>
      <x:c r="E8" s="181" t="str">
        <x:v>真实使用时复制“输入模板”，一行只填写一条视频；不要修改英文表头。</x:v>
      </x:c>
      <x:c r="F8" s="181"/>
      <x:c r="G8" s="181"/>
      <x:c r="H8" s="181"/>
      <x:c r="I8" s="181"/>
      <x:c r="J8" s="181"/>
    </x:row>
    <x:row r="9" ht="34" customHeight="1">
      <x:c r="A9" s="178" t="str">
        <x:v>人工金标数</x:v>
      </x:c>
      <x:c r="B9" s="179" t="n">
        <x:f>COUNTA('人工金标'!A5:A24)</x:f>
        <x:v>20</x:v>
      </x:c>
      <x:c r="C9" s="172"/>
      <x:c r="D9" s="180" t="str">
        <x:v>3</x:v>
      </x:c>
      <x:c r="E9" s="181" t="str">
        <x:v>黄色列由用户填写；灰色列为公式派生字段，无需手工输入。</x:v>
      </x:c>
      <x:c r="F9" s="181"/>
      <x:c r="G9" s="181"/>
      <x:c r="H9" s="181"/>
      <x:c r="I9" s="181"/>
      <x:c r="J9" s="181"/>
    </x:row>
    <x:row r="10" ht="34" customHeight="1">
      <x:c r="A10" s="182" t="str">
        <x:v>V1 标签枚举数</x:v>
      </x:c>
      <x:c r="B10" s="183" t="n">
        <x:f>COUNTA('标签字典'!C5:C41)</x:f>
        <x:v>37</x:v>
      </x:c>
      <x:c r="C10" s="172"/>
      <x:c r="D10" s="180" t="str">
        <x:v>4</x:v>
      </x:c>
      <x:c r="E10" s="181" t="str">
        <x:v>百分比请按 Excel 百分比填写，例如 43%（底层值为 0.43），不要输入 43。</x:v>
      </x:c>
      <x:c r="F10" s="181"/>
      <x:c r="G10" s="181"/>
      <x:c r="H10" s="181"/>
      <x:c r="I10" s="181"/>
      <x:c r="J10" s="181"/>
    </x:row>
    <x:row r="11" ht="34" customHeight="1">
      <x:c r="A11" s="172"/>
      <x:c r="B11" s="172"/>
      <x:c r="C11" s="172"/>
      <x:c r="D11" s="180" t="str">
        <x:v>5</x:v>
      </x:c>
      <x:c r="E11" s="181" t="str">
        <x:v>至少准备 10 条、最多 30 条记录；video_id、category、views 为硬性必填。</x:v>
      </x:c>
      <x:c r="F11" s="181"/>
      <x:c r="G11" s="181"/>
      <x:c r="H11" s="181"/>
      <x:c r="I11" s="181"/>
      <x:c r="J11" s="181"/>
    </x:row>
    <x:row r="12" ht="34" customHeight="1">
      <x:c r="A12" s="172"/>
      <x:c r="B12" s="172"/>
      <x:c r="C12" s="172"/>
      <x:c r="D12" s="180" t="str">
        <x:v>6</x:v>
      </x:c>
      <x:c r="E12" s="181" t="str">
        <x:v>标题、脚本/字幕、Hook 文案至少提供一项；完播率、平均播放时长、5 秒留存至少推荐一项。</x:v>
      </x:c>
      <x:c r="F12" s="181"/>
      <x:c r="G12" s="181"/>
      <x:c r="H12" s="181"/>
      <x:c r="I12" s="181"/>
      <x:c r="J12" s="181"/>
    </x:row>
    <x:row r="13" ht="34" customHeight="1">
      <x:c r="A13" s="172"/>
      <x:c r="B13" s="172"/>
      <x:c r="C13" s="172"/>
      <x:c r="D13" s="184" t="str">
        <x:v>7</x:v>
      </x:c>
      <x:c r="E13" s="185" t="str">
        <x:v>“演示数据”全部为项目合成数据，只用于产品测试与演示，不代表真实账号或行业结论。</x:v>
      </x:c>
      <x:c r="F13" s="185"/>
      <x:c r="G13" s="185"/>
      <x:c r="H13" s="185"/>
      <x:c r="I13" s="185"/>
      <x:c r="J13" s="185"/>
    </x:row>
    <x:row r="14">
      <x:c r="A14" s="172"/>
      <x:c r="B14" s="172"/>
      <x:c r="C14" s="172"/>
      <x:c r="D14" s="172"/>
      <x:c r="E14" s="172"/>
      <x:c r="F14" s="172"/>
      <x:c r="G14" s="172"/>
      <x:c r="H14" s="172"/>
      <x:c r="I14" s="172"/>
      <x:c r="J14" s="172"/>
    </x:row>
    <x:row r="15">
      <x:c r="A15" s="172"/>
      <x:c r="B15" s="172"/>
      <x:c r="C15" s="172"/>
      <x:c r="D15" s="172"/>
      <x:c r="E15" s="172"/>
      <x:c r="F15" s="172"/>
      <x:c r="G15" s="172"/>
      <x:c r="H15" s="172"/>
      <x:c r="I15" s="172"/>
      <x:c r="J15" s="172"/>
    </x:row>
    <x:row r="16" ht="48" customHeight="1">
      <x:c r="A16" s="74" t="str">
        <x:v>V1 数据门槛与可信度口径</x:v>
      </x:c>
      <x:c r="B16" s="75"/>
      <x:c r="C16" s="75"/>
      <x:c r="D16" s="75"/>
      <x:c r="E16" s="75"/>
      <x:c r="F16" s="75"/>
      <x:c r="G16" s="75"/>
      <x:c r="H16" s="75"/>
      <x:c r="I16" s="75"/>
      <x:c r="J16" s="76"/>
    </x:row>
    <x:row r="17" ht="48" customHeight="1">
      <x:c r="A17" s="16" t="str">
        <x:v>规则</x:v>
      </x:c>
      <x:c r="B17" s="80" t="str">
        <x:v>阈值</x:v>
      </x:c>
      <x:c r="C17" s="80" t="str">
        <x:v>结果</x:v>
      </x:c>
      <x:c r="D17" s="17" t="str">
        <x:v>产品处理</x:v>
      </x:c>
      <x:c r="E17" s="172"/>
      <x:c r="F17" s="99" t="str">
        <x:v>数据来源声明</x:v>
      </x:c>
      <x:c r="G17" s="100"/>
      <x:c r="H17" s="100"/>
      <x:c r="I17" s="100"/>
      <x:c r="J17" s="101"/>
    </x:row>
    <x:row r="18">
      <x:c r="A18" s="85" t="str">
        <x:v>有效视频数</x:v>
      </x:c>
      <x:c r="B18" s="85" t="str">
        <x:v>&lt;10</x:v>
      </x:c>
      <x:c r="C18" s="85" t="str">
        <x:v>不可分析</x:v>
      </x:c>
      <x:c r="D18" s="85" t="str">
        <x:v>阻止提交并提示补充数据</x:v>
      </x:c>
      <x:c r="E18" s="172"/>
      <x:c r="F18" s="186" t="str">
        <x:v>本工作簿中的 20 条视频文本、播放及转化数据均为人工构造的合成样本，目的是让产品工作流可测试、统计结果可复算、Prompt 输出可评测。上线或写入简历时应表述为“构建演示测试集”，不得表述为真实用户数据或真实业务效果。</x:v>
      </x:c>
      <x:c r="G18" s="186"/>
      <x:c r="H18" s="186"/>
      <x:c r="I18" s="186"/>
      <x:c r="J18" s="186"/>
    </x:row>
    <x:row r="19">
      <x:c r="A19" s="86" t="str">
        <x:v>有效视频数</x:v>
      </x:c>
      <x:c r="B19" s="86" t="str">
        <x:v>10—30</x:v>
      </x:c>
      <x:c r="C19" s="86" t="str">
        <x:v>可分析</x:v>
      </x:c>
      <x:c r="D19" s="86" t="str">
        <x:v>进入标签提取与统计</x:v>
      </x:c>
      <x:c r="E19" s="172"/>
      <x:c r="F19" s="186"/>
      <x:c r="G19" s="186"/>
      <x:c r="H19" s="186"/>
      <x:c r="I19" s="186"/>
      <x:c r="J19" s="186"/>
    </x:row>
    <x:row r="20">
      <x:c r="A20" s="86" t="str">
        <x:v>标签置信度</x:v>
      </x:c>
      <x:c r="B20" s="86" t="str">
        <x:v>≥0.80</x:v>
      </x:c>
      <x:c r="C20" s="86" t="str">
        <x:v>高</x:v>
      </x:c>
      <x:c r="D20" s="86" t="str">
        <x:v>默认通过，仍可人工修改</x:v>
      </x:c>
      <x:c r="E20" s="172"/>
      <x:c r="F20" s="186"/>
      <x:c r="G20" s="186"/>
      <x:c r="H20" s="186"/>
      <x:c r="I20" s="186"/>
      <x:c r="J20" s="186"/>
    </x:row>
    <x:row r="21">
      <x:c r="A21" s="86" t="str">
        <x:v>标签置信度</x:v>
      </x:c>
      <x:c r="B21" s="86" t="str">
        <x:v>0.60—0.79</x:v>
      </x:c>
      <x:c r="C21" s="86" t="str">
        <x:v>中</x:v>
      </x:c>
      <x:c r="D21" s="86" t="str">
        <x:v>建议快速确认</x:v>
      </x:c>
      <x:c r="E21" s="172"/>
      <x:c r="F21" s="186"/>
      <x:c r="G21" s="186"/>
      <x:c r="H21" s="186"/>
      <x:c r="I21" s="186"/>
      <x:c r="J21" s="186"/>
    </x:row>
    <x:row r="22">
      <x:c r="A22" s="86" t="str">
        <x:v>标签置信度</x:v>
      </x:c>
      <x:c r="B22" s="86" t="str">
        <x:v>&lt;0.60</x:v>
      </x:c>
      <x:c r="C22" s="86" t="str">
        <x:v>低</x:v>
      </x:c>
      <x:c r="D22" s="86" t="str">
        <x:v>默认进入待确认</x:v>
      </x:c>
      <x:c r="E22" s="172"/>
      <x:c r="F22" s="186"/>
      <x:c r="G22" s="186"/>
      <x:c r="H22" s="186"/>
      <x:c r="I22" s="186"/>
      <x:c r="J22" s="186"/>
    </x:row>
    <x:row r="23">
      <x:c r="A23" s="87" t="str">
        <x:v>洞察表达</x:v>
      </x:c>
      <x:c r="B23" s="87" t="str">
        <x:v>任何样本量</x:v>
      </x:c>
      <x:c r="C23" s="87" t="str">
        <x:v>相关性</x:v>
      </x:c>
      <x:c r="D23" s="87" t="str">
        <x:v>禁止表述为因果或收益保证</x:v>
      </x:c>
      <x:c r="E23" s="172"/>
      <x:c r="F23" s="186"/>
      <x:c r="G23" s="186"/>
      <x:c r="H23" s="186"/>
      <x:c r="I23" s="186"/>
      <x:c r="J23" s="186"/>
    </x:row>
  </x:sheetData>
  <x:mergeCells>
    <x:mergeCell ref="A1:J2"/>
    <x:mergeCell ref="A4:J4"/>
    <x:mergeCell ref="D6:J6"/>
    <x:mergeCell ref="E7:J7"/>
    <x:mergeCell ref="E8:J8"/>
    <x:mergeCell ref="E9:J9"/>
    <x:mergeCell ref="E10:J10"/>
    <x:mergeCell ref="E11:J11"/>
    <x:mergeCell ref="E12:J12"/>
    <x:mergeCell ref="E13:J13"/>
    <x:mergeCell ref="A16:J16"/>
    <x:mergeCell ref="F17:J17"/>
    <x:mergeCell ref="F18:J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109999656677246" hidden="0" customWidth="1"/>
    <x:col min="2" max="2" width="10.220000267028809" hidden="0" customWidth="1"/>
    <x:col min="3" max="3" width="15.5600004196167" hidden="0" customWidth="1"/>
    <x:col min="4" max="4" width="16.110000610351562" hidden="0" customWidth="1"/>
    <x:col min="5" max="5" width="10" hidden="0" customWidth="1"/>
    <x:col min="6" max="6" width="10" hidden="0" customWidth="1"/>
    <x:col min="7" max="7" width="23.329999923706055" hidden="0" customWidth="1"/>
    <x:col min="8" max="8" width="36.66999816894531" hidden="0" customWidth="1"/>
    <x:col min="9" max="9" width="25.559999465942383" hidden="0" customWidth="1"/>
    <x:col min="10" max="10" width="8.670000076293945" hidden="0" customWidth="1"/>
    <x:col min="11" max="11" width="8.329999923706055" hidden="0" customWidth="1"/>
    <x:col min="12" max="12" width="8.329999923706055" hidden="0" customWidth="1"/>
    <x:col min="13" max="13" width="8.329999923706055" hidden="0" customWidth="1"/>
    <x:col min="14" max="14" width="8.329999923706055" hidden="0" customWidth="1"/>
    <x:col min="15" max="15" width="9.4399995803833" hidden="0" customWidth="1"/>
    <x:col min="16" max="16" width="7.78000020980835" hidden="0" customWidth="1"/>
    <x:col min="17" max="17" width="7.78000020980835" hidden="0" customWidth="1"/>
    <x:col min="18" max="18" width="7.78000020980835" hidden="0" customWidth="1"/>
    <x:col min="19" max="19" width="7.78000020980835" hidden="0" customWidth="1"/>
    <x:col min="20" max="20" width="10" hidden="0" customWidth="1"/>
    <x:col min="21" max="21" width="11.109999656677246" hidden="0" customWidth="1"/>
    <x:col min="22" max="22" width="10" hidden="0" customWidth="1"/>
    <x:col min="23" max="23" width="10" hidden="0" customWidth="1"/>
    <x:col min="24" max="24" width="7.78000020980835" hidden="0" customWidth="1"/>
    <x:col min="25" max="25" width="16.670000076293945" hidden="0" customWidth="1"/>
    <x:col min="26" max="26" width="16.670000076293945" hidden="0" customWidth="1"/>
    <x:col min="27" max="27" width="11.670000076293945" hidden="0" customWidth="1"/>
    <x:col min="28" max="28" width="12.779999732971191" hidden="0" customWidth="1"/>
    <x:col min="29" max="29" width="11.109999656677246" hidden="0" customWidth="1"/>
    <x:col min="30" max="30" width="10.5600004196167" hidden="0" customWidth="1"/>
    <x:col min="31" max="31" width="12.220000267028809" hidden="0" customWidth="1"/>
    <x:col min="32" max="32" width="10" hidden="0" customWidth="1"/>
  </x:cols>
  <x:sheetData>
    <x:row r="1" ht="52" customHeight="1">
      <x:c r="A1" s="4" t="str">
        <x:v>CreatorLens 输入数据模板
每个项目 10—30 条视频；真实使用时填写黄色区域，系统字段会自动计算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</x:row>
    <x:row r="2" ht="52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  <x:c r="AA2" s="4"/>
      <x:c r="AB2" s="4"/>
      <x:c r="AC2" s="4"/>
      <x:c r="AD2" s="4"/>
      <x:c r="AE2" s="4"/>
      <x:c r="AF2" s="4"/>
    </x:row>
    <x:row r="3">
      <x:c r="A3" s="187" t="str">
        <x:v>黄色：用户输入字段｜带 *：硬性必填｜标题/脚本/Hook 至少一项｜完播率/平均播放时长/5秒留存至少推荐一项</x:v>
      </x:c>
      <x:c r="B3" s="187"/>
      <x:c r="C3" s="187"/>
      <x:c r="D3" s="187"/>
      <x:c r="E3" s="187"/>
      <x:c r="F3" s="187"/>
      <x:c r="G3" s="187"/>
      <x:c r="H3" s="187"/>
      <x:c r="I3" s="187"/>
      <x:c r="J3" s="187"/>
      <x:c r="K3" s="187"/>
      <x:c r="L3" s="187"/>
      <x:c r="M3" s="187"/>
      <x:c r="N3" s="187"/>
      <x:c r="O3" s="187"/>
      <x:c r="P3" s="187"/>
      <x:c r="Q3" s="187"/>
      <x:c r="R3" s="187"/>
      <x:c r="S3" s="187"/>
      <x:c r="T3" s="187"/>
      <x:c r="U3" s="187"/>
      <x:c r="V3" s="187"/>
      <x:c r="W3" s="187"/>
      <x:c r="X3" s="187"/>
      <x:c r="Y3" s="187"/>
      <x:c r="Z3" s="187"/>
      <x:c r="AA3" s="188" t="str">
        <x:v>灰色：系统派生字段（公式自动计算）</x:v>
      </x:c>
      <x:c r="AB3" s="188"/>
      <x:c r="AC3" s="188"/>
      <x:c r="AD3" s="188"/>
      <x:c r="AE3" s="188"/>
      <x:c r="AF3" s="188"/>
    </x:row>
    <x:row r="4" ht="48" customHeight="1">
      <x:c r="A4" s="74" t="str">
        <x:v>video_id*</x:v>
      </x:c>
      <x:c r="B4" s="75" t="str">
        <x:v>publish_date</x:v>
      </x:c>
      <x:c r="C4" s="75" t="str">
        <x:v>product_name</x:v>
      </x:c>
      <x:c r="D4" s="75" t="str">
        <x:v>category*</x:v>
      </x:c>
      <x:c r="E4" s="75" t="str">
        <x:v>price_band</x:v>
      </x:c>
      <x:c r="F4" s="75" t="str">
        <x:v>target_audience</x:v>
      </x:c>
      <x:c r="G4" s="75" t="str">
        <x:v>title</x:v>
      </x:c>
      <x:c r="H4" s="75" t="str">
        <x:v>script_or_subtitle</x:v>
      </x:c>
      <x:c r="I4" s="75" t="str">
        <x:v>hook_text</x:v>
      </x:c>
      <x:c r="J4" s="75" t="str">
        <x:v>duration_seconds</x:v>
      </x:c>
      <x:c r="K4" s="75" t="str">
        <x:v>person_on_camera</x:v>
      </x:c>
      <x:c r="L4" s="75" t="str">
        <x:v>scene_demo</x:v>
      </x:c>
      <x:c r="M4" s="75" t="str">
        <x:v>product_closeup</x:v>
      </x:c>
      <x:c r="N4" s="75" t="str">
        <x:v>before_after</x:v>
      </x:c>
      <x:c r="O4" s="75" t="str">
        <x:v>views*</x:v>
      </x:c>
      <x:c r="P4" s="75" t="str">
        <x:v>likes</x:v>
      </x:c>
      <x:c r="Q4" s="75" t="str">
        <x:v>comments</x:v>
      </x:c>
      <x:c r="R4" s="75" t="str">
        <x:v>favorites</x:v>
      </x:c>
      <x:c r="S4" s="75" t="str">
        <x:v>shares</x:v>
      </x:c>
      <x:c r="T4" s="75" t="str">
        <x:v>completion_rate</x:v>
      </x:c>
      <x:c r="U4" s="75" t="str">
        <x:v>avg_watch_time_seconds</x:v>
      </x:c>
      <x:c r="V4" s="75" t="str">
        <x:v>five_sec_retention</x:v>
      </x:c>
      <x:c r="W4" s="75" t="str">
        <x:v>product_clicks</x:v>
      </x:c>
      <x:c r="X4" s="75" t="str">
        <x:v>orders</x:v>
      </x:c>
      <x:c r="Y4" s="75" t="str">
        <x:v>notes</x:v>
      </x:c>
      <x:c r="Z4" s="76" t="str">
        <x:v>source_url</x:v>
      </x:c>
      <x:c r="AA4" s="16" t="str">
        <x:v>engagement_rate[系统]</x:v>
      </x:c>
      <x:c r="AB4" s="80" t="str">
        <x:v>product_click_rate[系统]</x:v>
      </x:c>
      <x:c r="AC4" s="80" t="str">
        <x:v>conversion_rate[系统]</x:v>
      </x:c>
      <x:c r="AD4" s="80" t="str">
        <x:v>duration_band[系统]</x:v>
      </x:c>
      <x:c r="AE4" s="80" t="str">
        <x:v>data_quality_score[系统]</x:v>
      </x:c>
      <x:c r="AF4" s="17" t="str">
        <x:v>record_status[系统]</x:v>
      </x:c>
    </x:row>
    <x:row r="5" ht="24" customHeight="1">
      <x:c r="A5" s="120"/>
      <x:c r="B5" s="126"/>
      <x:c r="C5" s="120"/>
      <x:c r="D5" s="120"/>
      <x:c r="E5" s="120"/>
      <x:c r="F5" s="120"/>
      <x:c r="G5" s="147"/>
      <x:c r="H5" s="147"/>
      <x:c r="I5" s="147"/>
      <x:c r="J5" s="141"/>
      <x:c r="K5" s="120"/>
      <x:c r="L5" s="120"/>
      <x:c r="M5" s="120"/>
      <x:c r="N5" s="120"/>
      <x:c r="O5" s="129"/>
      <x:c r="P5" s="129"/>
      <x:c r="Q5" s="129"/>
      <x:c r="R5" s="129"/>
      <x:c r="S5" s="129"/>
      <x:c r="T5" s="132"/>
      <x:c r="U5" s="144"/>
      <x:c r="V5" s="132"/>
      <x:c r="W5" s="129"/>
      <x:c r="X5" s="129"/>
      <x:c r="Y5" s="147"/>
      <x:c r="Z5" s="147"/>
      <x:c r="AA5" s="135" t="str">
        <x:f>IF(O5&gt;0,(P5+Q5+R5+S5)/O5,"")</x:f>
      </x:c>
      <x:c r="AB5" s="135" t="str">
        <x:f>IF(O5&gt;0,W5/O5,"")</x:f>
      </x:c>
      <x:c r="AC5" s="135" t="str">
        <x:f>IF(W5&gt;0,X5/W5,"")</x:f>
      </x:c>
      <x:c r="AD5" s="121" t="str">
        <x:f>IF(J5="","",IF(J5&lt;=10,"≤10秒",IF(J5&lt;=20,"11—20秒",IF(J5&lt;=30,"21—30秒","&gt;30秒"))))</x:f>
      </x:c>
      <x:c r="AE5" s="138" t="n">
        <x:f>(IF(A5&lt;&gt;"",1,0)+IF(D5&lt;&gt;"",1,0)+IF(O5&gt;0,1,0)+IF(OR(G5&lt;&gt;"",H5&lt;&gt;"",I5&lt;&gt;""),1,0)+IF(OR(T5&lt;&gt;"",U5&lt;&gt;"",V5&lt;&gt;""),1,0))/5</x:f>
        <x:v>0</x:v>
      </x:c>
      <x:c r="AF5" s="121" t="str">
        <x:f>IF(AE5=1,"可分析","需检查")</x:f>
        <x:v>需检查</x:v>
      </x:c>
    </x:row>
    <x:row r="6" ht="24" customHeight="1">
      <x:c r="A6" s="122"/>
      <x:c r="B6" s="127"/>
      <x:c r="C6" s="122"/>
      <x:c r="D6" s="122"/>
      <x:c r="E6" s="122"/>
      <x:c r="F6" s="122"/>
      <x:c r="G6" s="148"/>
      <x:c r="H6" s="148"/>
      <x:c r="I6" s="148"/>
      <x:c r="J6" s="142"/>
      <x:c r="K6" s="122"/>
      <x:c r="L6" s="122"/>
      <x:c r="M6" s="122"/>
      <x:c r="N6" s="122"/>
      <x:c r="O6" s="130"/>
      <x:c r="P6" s="130"/>
      <x:c r="Q6" s="130"/>
      <x:c r="R6" s="130"/>
      <x:c r="S6" s="130"/>
      <x:c r="T6" s="133"/>
      <x:c r="U6" s="145"/>
      <x:c r="V6" s="133"/>
      <x:c r="W6" s="130"/>
      <x:c r="X6" s="130"/>
      <x:c r="Y6" s="148"/>
      <x:c r="Z6" s="148"/>
      <x:c r="AA6" s="136" t="str">
        <x:f>IF(O6&gt;0,(P6+Q6+R6+S6)/O6,"")</x:f>
      </x:c>
      <x:c r="AB6" s="136" t="str">
        <x:f>IF(O6&gt;0,W6/O6,"")</x:f>
      </x:c>
      <x:c r="AC6" s="136" t="str">
        <x:f>IF(W6&gt;0,X6/W6,"")</x:f>
      </x:c>
      <x:c r="AD6" s="123" t="str">
        <x:f>IF(J6="","",IF(J6&lt;=10,"≤10秒",IF(J6&lt;=20,"11—20秒",IF(J6&lt;=30,"21—30秒","&gt;30秒"))))</x:f>
      </x:c>
      <x:c r="AE6" s="139" t="n">
        <x:f>(IF(A6&lt;&gt;"",1,0)+IF(D6&lt;&gt;"",1,0)+IF(O6&gt;0,1,0)+IF(OR(G6&lt;&gt;"",H6&lt;&gt;"",I6&lt;&gt;""),1,0)+IF(OR(T6&lt;&gt;"",U6&lt;&gt;"",V6&lt;&gt;""),1,0))/5</x:f>
        <x:v>0</x:v>
      </x:c>
      <x:c r="AF6" s="123" t="str">
        <x:f>IF(AE6=1,"可分析","需检查")</x:f>
        <x:v>需检查</x:v>
      </x:c>
    </x:row>
    <x:row r="7" ht="24" customHeight="1">
      <x:c r="A7" s="122"/>
      <x:c r="B7" s="127"/>
      <x:c r="C7" s="122"/>
      <x:c r="D7" s="122"/>
      <x:c r="E7" s="122"/>
      <x:c r="F7" s="122"/>
      <x:c r="G7" s="148"/>
      <x:c r="H7" s="148"/>
      <x:c r="I7" s="148"/>
      <x:c r="J7" s="142"/>
      <x:c r="K7" s="122"/>
      <x:c r="L7" s="122"/>
      <x:c r="M7" s="122"/>
      <x:c r="N7" s="122"/>
      <x:c r="O7" s="130"/>
      <x:c r="P7" s="130"/>
      <x:c r="Q7" s="130"/>
      <x:c r="R7" s="130"/>
      <x:c r="S7" s="130"/>
      <x:c r="T7" s="133"/>
      <x:c r="U7" s="145"/>
      <x:c r="V7" s="133"/>
      <x:c r="W7" s="130"/>
      <x:c r="X7" s="130"/>
      <x:c r="Y7" s="148"/>
      <x:c r="Z7" s="148"/>
      <x:c r="AA7" s="136" t="str">
        <x:f>IF(O7&gt;0,(P7+Q7+R7+S7)/O7,"")</x:f>
      </x:c>
      <x:c r="AB7" s="136" t="str">
        <x:f>IF(O7&gt;0,W7/O7,"")</x:f>
      </x:c>
      <x:c r="AC7" s="136" t="str">
        <x:f>IF(W7&gt;0,X7/W7,"")</x:f>
      </x:c>
      <x:c r="AD7" s="123" t="str">
        <x:f>IF(J7="","",IF(J7&lt;=10,"≤10秒",IF(J7&lt;=20,"11—20秒",IF(J7&lt;=30,"21—30秒","&gt;30秒"))))</x:f>
      </x:c>
      <x:c r="AE7" s="139" t="n">
        <x:f>(IF(A7&lt;&gt;"",1,0)+IF(D7&lt;&gt;"",1,0)+IF(O7&gt;0,1,0)+IF(OR(G7&lt;&gt;"",H7&lt;&gt;"",I7&lt;&gt;""),1,0)+IF(OR(T7&lt;&gt;"",U7&lt;&gt;"",V7&lt;&gt;""),1,0))/5</x:f>
        <x:v>0</x:v>
      </x:c>
      <x:c r="AF7" s="123" t="str">
        <x:f>IF(AE7=1,"可分析","需检查")</x:f>
        <x:v>需检查</x:v>
      </x:c>
    </x:row>
    <x:row r="8" ht="24" customHeight="1">
      <x:c r="A8" s="122"/>
      <x:c r="B8" s="127"/>
      <x:c r="C8" s="122"/>
      <x:c r="D8" s="122"/>
      <x:c r="E8" s="122"/>
      <x:c r="F8" s="122"/>
      <x:c r="G8" s="148"/>
      <x:c r="H8" s="148"/>
      <x:c r="I8" s="148"/>
      <x:c r="J8" s="142"/>
      <x:c r="K8" s="122"/>
      <x:c r="L8" s="122"/>
      <x:c r="M8" s="122"/>
      <x:c r="N8" s="122"/>
      <x:c r="O8" s="130"/>
      <x:c r="P8" s="130"/>
      <x:c r="Q8" s="130"/>
      <x:c r="R8" s="130"/>
      <x:c r="S8" s="130"/>
      <x:c r="T8" s="133"/>
      <x:c r="U8" s="145"/>
      <x:c r="V8" s="133"/>
      <x:c r="W8" s="130"/>
      <x:c r="X8" s="130"/>
      <x:c r="Y8" s="148"/>
      <x:c r="Z8" s="148"/>
      <x:c r="AA8" s="136" t="str">
        <x:f>IF(O8&gt;0,(P8+Q8+R8+S8)/O8,"")</x:f>
      </x:c>
      <x:c r="AB8" s="136" t="str">
        <x:f>IF(O8&gt;0,W8/O8,"")</x:f>
      </x:c>
      <x:c r="AC8" s="136" t="str">
        <x:f>IF(W8&gt;0,X8/W8,"")</x:f>
      </x:c>
      <x:c r="AD8" s="123" t="str">
        <x:f>IF(J8="","",IF(J8&lt;=10,"≤10秒",IF(J8&lt;=20,"11—20秒",IF(J8&lt;=30,"21—30秒","&gt;30秒"))))</x:f>
      </x:c>
      <x:c r="AE8" s="139" t="n">
        <x:f>(IF(A8&lt;&gt;"",1,0)+IF(D8&lt;&gt;"",1,0)+IF(O8&gt;0,1,0)+IF(OR(G8&lt;&gt;"",H8&lt;&gt;"",I8&lt;&gt;""),1,0)+IF(OR(T8&lt;&gt;"",U8&lt;&gt;"",V8&lt;&gt;""),1,0))/5</x:f>
        <x:v>0</x:v>
      </x:c>
      <x:c r="AF8" s="123" t="str">
        <x:f>IF(AE8=1,"可分析","需检查")</x:f>
        <x:v>需检查</x:v>
      </x:c>
    </x:row>
    <x:row r="9" ht="24" customHeight="1">
      <x:c r="A9" s="122"/>
      <x:c r="B9" s="127"/>
      <x:c r="C9" s="122"/>
      <x:c r="D9" s="122"/>
      <x:c r="E9" s="122"/>
      <x:c r="F9" s="122"/>
      <x:c r="G9" s="148"/>
      <x:c r="H9" s="148"/>
      <x:c r="I9" s="148"/>
      <x:c r="J9" s="142"/>
      <x:c r="K9" s="122"/>
      <x:c r="L9" s="122"/>
      <x:c r="M9" s="122"/>
      <x:c r="N9" s="122"/>
      <x:c r="O9" s="130"/>
      <x:c r="P9" s="130"/>
      <x:c r="Q9" s="130"/>
      <x:c r="R9" s="130"/>
      <x:c r="S9" s="130"/>
      <x:c r="T9" s="133"/>
      <x:c r="U9" s="145"/>
      <x:c r="V9" s="133"/>
      <x:c r="W9" s="130"/>
      <x:c r="X9" s="130"/>
      <x:c r="Y9" s="148"/>
      <x:c r="Z9" s="148"/>
      <x:c r="AA9" s="136" t="str">
        <x:f>IF(O9&gt;0,(P9+Q9+R9+S9)/O9,"")</x:f>
      </x:c>
      <x:c r="AB9" s="136" t="str">
        <x:f>IF(O9&gt;0,W9/O9,"")</x:f>
      </x:c>
      <x:c r="AC9" s="136" t="str">
        <x:f>IF(W9&gt;0,X9/W9,"")</x:f>
      </x:c>
      <x:c r="AD9" s="123" t="str">
        <x:f>IF(J9="","",IF(J9&lt;=10,"≤10秒",IF(J9&lt;=20,"11—20秒",IF(J9&lt;=30,"21—30秒","&gt;30秒"))))</x:f>
      </x:c>
      <x:c r="AE9" s="139" t="n">
        <x:f>(IF(A9&lt;&gt;"",1,0)+IF(D9&lt;&gt;"",1,0)+IF(O9&gt;0,1,0)+IF(OR(G9&lt;&gt;"",H9&lt;&gt;"",I9&lt;&gt;""),1,0)+IF(OR(T9&lt;&gt;"",U9&lt;&gt;"",V9&lt;&gt;""),1,0))/5</x:f>
        <x:v>0</x:v>
      </x:c>
      <x:c r="AF9" s="123" t="str">
        <x:f>IF(AE9=1,"可分析","需检查")</x:f>
        <x:v>需检查</x:v>
      </x:c>
    </x:row>
    <x:row r="10" ht="24" customHeight="1">
      <x:c r="A10" s="122"/>
      <x:c r="B10" s="127"/>
      <x:c r="C10" s="122"/>
      <x:c r="D10" s="122"/>
      <x:c r="E10" s="122"/>
      <x:c r="F10" s="122"/>
      <x:c r="G10" s="148"/>
      <x:c r="H10" s="148"/>
      <x:c r="I10" s="148"/>
      <x:c r="J10" s="142"/>
      <x:c r="K10" s="122"/>
      <x:c r="L10" s="122"/>
      <x:c r="M10" s="122"/>
      <x:c r="N10" s="122"/>
      <x:c r="O10" s="130"/>
      <x:c r="P10" s="130"/>
      <x:c r="Q10" s="130"/>
      <x:c r="R10" s="130"/>
      <x:c r="S10" s="130"/>
      <x:c r="T10" s="133"/>
      <x:c r="U10" s="145"/>
      <x:c r="V10" s="133"/>
      <x:c r="W10" s="130"/>
      <x:c r="X10" s="130"/>
      <x:c r="Y10" s="148"/>
      <x:c r="Z10" s="148"/>
      <x:c r="AA10" s="136" t="str">
        <x:f>IF(O10&gt;0,(P10+Q10+R10+S10)/O10,"")</x:f>
      </x:c>
      <x:c r="AB10" s="136" t="str">
        <x:f>IF(O10&gt;0,W10/O10,"")</x:f>
      </x:c>
      <x:c r="AC10" s="136" t="str">
        <x:f>IF(W10&gt;0,X10/W10,"")</x:f>
      </x:c>
      <x:c r="AD10" s="123" t="str">
        <x:f>IF(J10="","",IF(J10&lt;=10,"≤10秒",IF(J10&lt;=20,"11—20秒",IF(J10&lt;=30,"21—30秒","&gt;30秒"))))</x:f>
      </x:c>
      <x:c r="AE10" s="139" t="n">
        <x:f>(IF(A10&lt;&gt;"",1,0)+IF(D10&lt;&gt;"",1,0)+IF(O10&gt;0,1,0)+IF(OR(G10&lt;&gt;"",H10&lt;&gt;"",I10&lt;&gt;""),1,0)+IF(OR(T10&lt;&gt;"",U10&lt;&gt;"",V10&lt;&gt;""),1,0))/5</x:f>
        <x:v>0</x:v>
      </x:c>
      <x:c r="AF10" s="123" t="str">
        <x:f>IF(AE10=1,"可分析","需检查")</x:f>
        <x:v>需检查</x:v>
      </x:c>
    </x:row>
    <x:row r="11" ht="24" customHeight="1">
      <x:c r="A11" s="122"/>
      <x:c r="B11" s="127"/>
      <x:c r="C11" s="122"/>
      <x:c r="D11" s="122"/>
      <x:c r="E11" s="122"/>
      <x:c r="F11" s="122"/>
      <x:c r="G11" s="148"/>
      <x:c r="H11" s="148"/>
      <x:c r="I11" s="148"/>
      <x:c r="J11" s="142"/>
      <x:c r="K11" s="122"/>
      <x:c r="L11" s="122"/>
      <x:c r="M11" s="122"/>
      <x:c r="N11" s="122"/>
      <x:c r="O11" s="130"/>
      <x:c r="P11" s="130"/>
      <x:c r="Q11" s="130"/>
      <x:c r="R11" s="130"/>
      <x:c r="S11" s="130"/>
      <x:c r="T11" s="133"/>
      <x:c r="U11" s="145"/>
      <x:c r="V11" s="133"/>
      <x:c r="W11" s="130"/>
      <x:c r="X11" s="130"/>
      <x:c r="Y11" s="148"/>
      <x:c r="Z11" s="148"/>
      <x:c r="AA11" s="136" t="str">
        <x:f>IF(O11&gt;0,(P11+Q11+R11+S11)/O11,"")</x:f>
      </x:c>
      <x:c r="AB11" s="136" t="str">
        <x:f>IF(O11&gt;0,W11/O11,"")</x:f>
      </x:c>
      <x:c r="AC11" s="136" t="str">
        <x:f>IF(W11&gt;0,X11/W11,"")</x:f>
      </x:c>
      <x:c r="AD11" s="123" t="str">
        <x:f>IF(J11="","",IF(J11&lt;=10,"≤10秒",IF(J11&lt;=20,"11—20秒",IF(J11&lt;=30,"21—30秒","&gt;30秒"))))</x:f>
      </x:c>
      <x:c r="AE11" s="139" t="n">
        <x:f>(IF(A11&lt;&gt;"",1,0)+IF(D11&lt;&gt;"",1,0)+IF(O11&gt;0,1,0)+IF(OR(G11&lt;&gt;"",H11&lt;&gt;"",I11&lt;&gt;""),1,0)+IF(OR(T11&lt;&gt;"",U11&lt;&gt;"",V11&lt;&gt;""),1,0))/5</x:f>
        <x:v>0</x:v>
      </x:c>
      <x:c r="AF11" s="123" t="str">
        <x:f>IF(AE11=1,"可分析","需检查")</x:f>
        <x:v>需检查</x:v>
      </x:c>
    </x:row>
    <x:row r="12" ht="24" customHeight="1">
      <x:c r="A12" s="122"/>
      <x:c r="B12" s="127"/>
      <x:c r="C12" s="122"/>
      <x:c r="D12" s="122"/>
      <x:c r="E12" s="122"/>
      <x:c r="F12" s="122"/>
      <x:c r="G12" s="148"/>
      <x:c r="H12" s="148"/>
      <x:c r="I12" s="148"/>
      <x:c r="J12" s="142"/>
      <x:c r="K12" s="122"/>
      <x:c r="L12" s="122"/>
      <x:c r="M12" s="122"/>
      <x:c r="N12" s="122"/>
      <x:c r="O12" s="130"/>
      <x:c r="P12" s="130"/>
      <x:c r="Q12" s="130"/>
      <x:c r="R12" s="130"/>
      <x:c r="S12" s="130"/>
      <x:c r="T12" s="133"/>
      <x:c r="U12" s="145"/>
      <x:c r="V12" s="133"/>
      <x:c r="W12" s="130"/>
      <x:c r="X12" s="130"/>
      <x:c r="Y12" s="148"/>
      <x:c r="Z12" s="148"/>
      <x:c r="AA12" s="136" t="str">
        <x:f>IF(O12&gt;0,(P12+Q12+R12+S12)/O12,"")</x:f>
      </x:c>
      <x:c r="AB12" s="136" t="str">
        <x:f>IF(O12&gt;0,W12/O12,"")</x:f>
      </x:c>
      <x:c r="AC12" s="136" t="str">
        <x:f>IF(W12&gt;0,X12/W12,"")</x:f>
      </x:c>
      <x:c r="AD12" s="123" t="str">
        <x:f>IF(J12="","",IF(J12&lt;=10,"≤10秒",IF(J12&lt;=20,"11—20秒",IF(J12&lt;=30,"21—30秒","&gt;30秒"))))</x:f>
      </x:c>
      <x:c r="AE12" s="139" t="n">
        <x:f>(IF(A12&lt;&gt;"",1,0)+IF(D12&lt;&gt;"",1,0)+IF(O12&gt;0,1,0)+IF(OR(G12&lt;&gt;"",H12&lt;&gt;"",I12&lt;&gt;""),1,0)+IF(OR(T12&lt;&gt;"",U12&lt;&gt;"",V12&lt;&gt;""),1,0))/5</x:f>
        <x:v>0</x:v>
      </x:c>
      <x:c r="AF12" s="123" t="str">
        <x:f>IF(AE12=1,"可分析","需检查")</x:f>
        <x:v>需检查</x:v>
      </x:c>
    </x:row>
    <x:row r="13" ht="24" customHeight="1">
      <x:c r="A13" s="122"/>
      <x:c r="B13" s="127"/>
      <x:c r="C13" s="122"/>
      <x:c r="D13" s="122"/>
      <x:c r="E13" s="122"/>
      <x:c r="F13" s="122"/>
      <x:c r="G13" s="148"/>
      <x:c r="H13" s="148"/>
      <x:c r="I13" s="148"/>
      <x:c r="J13" s="142"/>
      <x:c r="K13" s="122"/>
      <x:c r="L13" s="122"/>
      <x:c r="M13" s="122"/>
      <x:c r="N13" s="122"/>
      <x:c r="O13" s="130"/>
      <x:c r="P13" s="130"/>
      <x:c r="Q13" s="130"/>
      <x:c r="R13" s="130"/>
      <x:c r="S13" s="130"/>
      <x:c r="T13" s="133"/>
      <x:c r="U13" s="145"/>
      <x:c r="V13" s="133"/>
      <x:c r="W13" s="130"/>
      <x:c r="X13" s="130"/>
      <x:c r="Y13" s="148"/>
      <x:c r="Z13" s="148"/>
      <x:c r="AA13" s="136" t="str">
        <x:f>IF(O13&gt;0,(P13+Q13+R13+S13)/O13,"")</x:f>
      </x:c>
      <x:c r="AB13" s="136" t="str">
        <x:f>IF(O13&gt;0,W13/O13,"")</x:f>
      </x:c>
      <x:c r="AC13" s="136" t="str">
        <x:f>IF(W13&gt;0,X13/W13,"")</x:f>
      </x:c>
      <x:c r="AD13" s="123" t="str">
        <x:f>IF(J13="","",IF(J13&lt;=10,"≤10秒",IF(J13&lt;=20,"11—20秒",IF(J13&lt;=30,"21—30秒","&gt;30秒"))))</x:f>
      </x:c>
      <x:c r="AE13" s="139" t="n">
        <x:f>(IF(A13&lt;&gt;"",1,0)+IF(D13&lt;&gt;"",1,0)+IF(O13&gt;0,1,0)+IF(OR(G13&lt;&gt;"",H13&lt;&gt;"",I13&lt;&gt;""),1,0)+IF(OR(T13&lt;&gt;"",U13&lt;&gt;"",V13&lt;&gt;""),1,0))/5</x:f>
        <x:v>0</x:v>
      </x:c>
      <x:c r="AF13" s="123" t="str">
        <x:f>IF(AE13=1,"可分析","需检查")</x:f>
        <x:v>需检查</x:v>
      </x:c>
    </x:row>
    <x:row r="14" ht="24" customHeight="1">
      <x:c r="A14" s="122"/>
      <x:c r="B14" s="127"/>
      <x:c r="C14" s="122"/>
      <x:c r="D14" s="122"/>
      <x:c r="E14" s="122"/>
      <x:c r="F14" s="122"/>
      <x:c r="G14" s="148"/>
      <x:c r="H14" s="148"/>
      <x:c r="I14" s="148"/>
      <x:c r="J14" s="142"/>
      <x:c r="K14" s="122"/>
      <x:c r="L14" s="122"/>
      <x:c r="M14" s="122"/>
      <x:c r="N14" s="122"/>
      <x:c r="O14" s="130"/>
      <x:c r="P14" s="130"/>
      <x:c r="Q14" s="130"/>
      <x:c r="R14" s="130"/>
      <x:c r="S14" s="130"/>
      <x:c r="T14" s="133"/>
      <x:c r="U14" s="145"/>
      <x:c r="V14" s="133"/>
      <x:c r="W14" s="130"/>
      <x:c r="X14" s="130"/>
      <x:c r="Y14" s="148"/>
      <x:c r="Z14" s="148"/>
      <x:c r="AA14" s="136" t="str">
        <x:f>IF(O14&gt;0,(P14+Q14+R14+S14)/O14,"")</x:f>
      </x:c>
      <x:c r="AB14" s="136" t="str">
        <x:f>IF(O14&gt;0,W14/O14,"")</x:f>
      </x:c>
      <x:c r="AC14" s="136" t="str">
        <x:f>IF(W14&gt;0,X14/W14,"")</x:f>
      </x:c>
      <x:c r="AD14" s="123" t="str">
        <x:f>IF(J14="","",IF(J14&lt;=10,"≤10秒",IF(J14&lt;=20,"11—20秒",IF(J14&lt;=30,"21—30秒","&gt;30秒"))))</x:f>
      </x:c>
      <x:c r="AE14" s="139" t="n">
        <x:f>(IF(A14&lt;&gt;"",1,0)+IF(D14&lt;&gt;"",1,0)+IF(O14&gt;0,1,0)+IF(OR(G14&lt;&gt;"",H14&lt;&gt;"",I14&lt;&gt;""),1,0)+IF(OR(T14&lt;&gt;"",U14&lt;&gt;"",V14&lt;&gt;""),1,0))/5</x:f>
        <x:v>0</x:v>
      </x:c>
      <x:c r="AF14" s="123" t="str">
        <x:f>IF(AE14=1,"可分析","需检查")</x:f>
        <x:v>需检查</x:v>
      </x:c>
    </x:row>
    <x:row r="15" ht="24" customHeight="1">
      <x:c r="A15" s="122"/>
      <x:c r="B15" s="127"/>
      <x:c r="C15" s="122"/>
      <x:c r="D15" s="122"/>
      <x:c r="E15" s="122"/>
      <x:c r="F15" s="122"/>
      <x:c r="G15" s="148"/>
      <x:c r="H15" s="148"/>
      <x:c r="I15" s="148"/>
      <x:c r="J15" s="142"/>
      <x:c r="K15" s="122"/>
      <x:c r="L15" s="122"/>
      <x:c r="M15" s="122"/>
      <x:c r="N15" s="122"/>
      <x:c r="O15" s="130"/>
      <x:c r="P15" s="130"/>
      <x:c r="Q15" s="130"/>
      <x:c r="R15" s="130"/>
      <x:c r="S15" s="130"/>
      <x:c r="T15" s="133"/>
      <x:c r="U15" s="145"/>
      <x:c r="V15" s="133"/>
      <x:c r="W15" s="130"/>
      <x:c r="X15" s="130"/>
      <x:c r="Y15" s="148"/>
      <x:c r="Z15" s="148"/>
      <x:c r="AA15" s="136" t="str">
        <x:f>IF(O15&gt;0,(P15+Q15+R15+S15)/O15,"")</x:f>
      </x:c>
      <x:c r="AB15" s="136" t="str">
        <x:f>IF(O15&gt;0,W15/O15,"")</x:f>
      </x:c>
      <x:c r="AC15" s="136" t="str">
        <x:f>IF(W15&gt;0,X15/W15,"")</x:f>
      </x:c>
      <x:c r="AD15" s="123" t="str">
        <x:f>IF(J15="","",IF(J15&lt;=10,"≤10秒",IF(J15&lt;=20,"11—20秒",IF(J15&lt;=30,"21—30秒","&gt;30秒"))))</x:f>
      </x:c>
      <x:c r="AE15" s="139" t="n">
        <x:f>(IF(A15&lt;&gt;"",1,0)+IF(D15&lt;&gt;"",1,0)+IF(O15&gt;0,1,0)+IF(OR(G15&lt;&gt;"",H15&lt;&gt;"",I15&lt;&gt;""),1,0)+IF(OR(T15&lt;&gt;"",U15&lt;&gt;"",V15&lt;&gt;""),1,0))/5</x:f>
        <x:v>0</x:v>
      </x:c>
      <x:c r="AF15" s="123" t="str">
        <x:f>IF(AE15=1,"可分析","需检查")</x:f>
        <x:v>需检查</x:v>
      </x:c>
    </x:row>
    <x:row r="16" ht="24" customHeight="1">
      <x:c r="A16" s="122"/>
      <x:c r="B16" s="127"/>
      <x:c r="C16" s="122"/>
      <x:c r="D16" s="122"/>
      <x:c r="E16" s="122"/>
      <x:c r="F16" s="122"/>
      <x:c r="G16" s="148"/>
      <x:c r="H16" s="148"/>
      <x:c r="I16" s="148"/>
      <x:c r="J16" s="142"/>
      <x:c r="K16" s="122"/>
      <x:c r="L16" s="122"/>
      <x:c r="M16" s="122"/>
      <x:c r="N16" s="122"/>
      <x:c r="O16" s="130"/>
      <x:c r="P16" s="130"/>
      <x:c r="Q16" s="130"/>
      <x:c r="R16" s="130"/>
      <x:c r="S16" s="130"/>
      <x:c r="T16" s="133"/>
      <x:c r="U16" s="145"/>
      <x:c r="V16" s="133"/>
      <x:c r="W16" s="130"/>
      <x:c r="X16" s="130"/>
      <x:c r="Y16" s="148"/>
      <x:c r="Z16" s="148"/>
      <x:c r="AA16" s="136" t="str">
        <x:f>IF(O16&gt;0,(P16+Q16+R16+S16)/O16,"")</x:f>
      </x:c>
      <x:c r="AB16" s="136" t="str">
        <x:f>IF(O16&gt;0,W16/O16,"")</x:f>
      </x:c>
      <x:c r="AC16" s="136" t="str">
        <x:f>IF(W16&gt;0,X16/W16,"")</x:f>
      </x:c>
      <x:c r="AD16" s="123" t="str">
        <x:f>IF(J16="","",IF(J16&lt;=10,"≤10秒",IF(J16&lt;=20,"11—20秒",IF(J16&lt;=30,"21—30秒","&gt;30秒"))))</x:f>
      </x:c>
      <x:c r="AE16" s="139" t="n">
        <x:f>(IF(A16&lt;&gt;"",1,0)+IF(D16&lt;&gt;"",1,0)+IF(O16&gt;0,1,0)+IF(OR(G16&lt;&gt;"",H16&lt;&gt;"",I16&lt;&gt;""),1,0)+IF(OR(T16&lt;&gt;"",U16&lt;&gt;"",V16&lt;&gt;""),1,0))/5</x:f>
        <x:v>0</x:v>
      </x:c>
      <x:c r="AF16" s="123" t="str">
        <x:f>IF(AE16=1,"可分析","需检查")</x:f>
        <x:v>需检查</x:v>
      </x:c>
    </x:row>
    <x:row r="17" ht="24" customHeight="1">
      <x:c r="A17" s="122"/>
      <x:c r="B17" s="127"/>
      <x:c r="C17" s="122"/>
      <x:c r="D17" s="122"/>
      <x:c r="E17" s="122"/>
      <x:c r="F17" s="122"/>
      <x:c r="G17" s="148"/>
      <x:c r="H17" s="148"/>
      <x:c r="I17" s="148"/>
      <x:c r="J17" s="142"/>
      <x:c r="K17" s="122"/>
      <x:c r="L17" s="122"/>
      <x:c r="M17" s="122"/>
      <x:c r="N17" s="122"/>
      <x:c r="O17" s="130"/>
      <x:c r="P17" s="130"/>
      <x:c r="Q17" s="130"/>
      <x:c r="R17" s="130"/>
      <x:c r="S17" s="130"/>
      <x:c r="T17" s="133"/>
      <x:c r="U17" s="145"/>
      <x:c r="V17" s="133"/>
      <x:c r="W17" s="130"/>
      <x:c r="X17" s="130"/>
      <x:c r="Y17" s="148"/>
      <x:c r="Z17" s="148"/>
      <x:c r="AA17" s="136" t="str">
        <x:f>IF(O17&gt;0,(P17+Q17+R17+S17)/O17,"")</x:f>
      </x:c>
      <x:c r="AB17" s="136" t="str">
        <x:f>IF(O17&gt;0,W17/O17,"")</x:f>
      </x:c>
      <x:c r="AC17" s="136" t="str">
        <x:f>IF(W17&gt;0,X17/W17,"")</x:f>
      </x:c>
      <x:c r="AD17" s="123" t="str">
        <x:f>IF(J17="","",IF(J17&lt;=10,"≤10秒",IF(J17&lt;=20,"11—20秒",IF(J17&lt;=30,"21—30秒","&gt;30秒"))))</x:f>
      </x:c>
      <x:c r="AE17" s="139" t="n">
        <x:f>(IF(A17&lt;&gt;"",1,0)+IF(D17&lt;&gt;"",1,0)+IF(O17&gt;0,1,0)+IF(OR(G17&lt;&gt;"",H17&lt;&gt;"",I17&lt;&gt;""),1,0)+IF(OR(T17&lt;&gt;"",U17&lt;&gt;"",V17&lt;&gt;""),1,0))/5</x:f>
        <x:v>0</x:v>
      </x:c>
      <x:c r="AF17" s="123" t="str">
        <x:f>IF(AE17=1,"可分析","需检查")</x:f>
        <x:v>需检查</x:v>
      </x:c>
    </x:row>
    <x:row r="18" ht="24" customHeight="1">
      <x:c r="A18" s="122"/>
      <x:c r="B18" s="127"/>
      <x:c r="C18" s="122"/>
      <x:c r="D18" s="122"/>
      <x:c r="E18" s="122"/>
      <x:c r="F18" s="122"/>
      <x:c r="G18" s="148"/>
      <x:c r="H18" s="148"/>
      <x:c r="I18" s="148"/>
      <x:c r="J18" s="142"/>
      <x:c r="K18" s="122"/>
      <x:c r="L18" s="122"/>
      <x:c r="M18" s="122"/>
      <x:c r="N18" s="122"/>
      <x:c r="O18" s="130"/>
      <x:c r="P18" s="130"/>
      <x:c r="Q18" s="130"/>
      <x:c r="R18" s="130"/>
      <x:c r="S18" s="130"/>
      <x:c r="T18" s="133"/>
      <x:c r="U18" s="145"/>
      <x:c r="V18" s="133"/>
      <x:c r="W18" s="130"/>
      <x:c r="X18" s="130"/>
      <x:c r="Y18" s="148"/>
      <x:c r="Z18" s="148"/>
      <x:c r="AA18" s="136" t="str">
        <x:f>IF(O18&gt;0,(P18+Q18+R18+S18)/O18,"")</x:f>
      </x:c>
      <x:c r="AB18" s="136" t="str">
        <x:f>IF(O18&gt;0,W18/O18,"")</x:f>
      </x:c>
      <x:c r="AC18" s="136" t="str">
        <x:f>IF(W18&gt;0,X18/W18,"")</x:f>
      </x:c>
      <x:c r="AD18" s="123" t="str">
        <x:f>IF(J18="","",IF(J18&lt;=10,"≤10秒",IF(J18&lt;=20,"11—20秒",IF(J18&lt;=30,"21—30秒","&gt;30秒"))))</x:f>
      </x:c>
      <x:c r="AE18" s="139" t="n">
        <x:f>(IF(A18&lt;&gt;"",1,0)+IF(D18&lt;&gt;"",1,0)+IF(O18&gt;0,1,0)+IF(OR(G18&lt;&gt;"",H18&lt;&gt;"",I18&lt;&gt;""),1,0)+IF(OR(T18&lt;&gt;"",U18&lt;&gt;"",V18&lt;&gt;""),1,0))/5</x:f>
        <x:v>0</x:v>
      </x:c>
      <x:c r="AF18" s="123" t="str">
        <x:f>IF(AE18=1,"可分析","需检查")</x:f>
        <x:v>需检查</x:v>
      </x:c>
    </x:row>
    <x:row r="19" ht="24" customHeight="1">
      <x:c r="A19" s="122"/>
      <x:c r="B19" s="127"/>
      <x:c r="C19" s="122"/>
      <x:c r="D19" s="122"/>
      <x:c r="E19" s="122"/>
      <x:c r="F19" s="122"/>
      <x:c r="G19" s="148"/>
      <x:c r="H19" s="148"/>
      <x:c r="I19" s="148"/>
      <x:c r="J19" s="142"/>
      <x:c r="K19" s="122"/>
      <x:c r="L19" s="122"/>
      <x:c r="M19" s="122"/>
      <x:c r="N19" s="122"/>
      <x:c r="O19" s="130"/>
      <x:c r="P19" s="130"/>
      <x:c r="Q19" s="130"/>
      <x:c r="R19" s="130"/>
      <x:c r="S19" s="130"/>
      <x:c r="T19" s="133"/>
      <x:c r="U19" s="145"/>
      <x:c r="V19" s="133"/>
      <x:c r="W19" s="130"/>
      <x:c r="X19" s="130"/>
      <x:c r="Y19" s="148"/>
      <x:c r="Z19" s="148"/>
      <x:c r="AA19" s="136" t="str">
        <x:f>IF(O19&gt;0,(P19+Q19+R19+S19)/O19,"")</x:f>
      </x:c>
      <x:c r="AB19" s="136" t="str">
        <x:f>IF(O19&gt;0,W19/O19,"")</x:f>
      </x:c>
      <x:c r="AC19" s="136" t="str">
        <x:f>IF(W19&gt;0,X19/W19,"")</x:f>
      </x:c>
      <x:c r="AD19" s="123" t="str">
        <x:f>IF(J19="","",IF(J19&lt;=10,"≤10秒",IF(J19&lt;=20,"11—20秒",IF(J19&lt;=30,"21—30秒","&gt;30秒"))))</x:f>
      </x:c>
      <x:c r="AE19" s="139" t="n">
        <x:f>(IF(A19&lt;&gt;"",1,0)+IF(D19&lt;&gt;"",1,0)+IF(O19&gt;0,1,0)+IF(OR(G19&lt;&gt;"",H19&lt;&gt;"",I19&lt;&gt;""),1,0)+IF(OR(T19&lt;&gt;"",U19&lt;&gt;"",V19&lt;&gt;""),1,0))/5</x:f>
        <x:v>0</x:v>
      </x:c>
      <x:c r="AF19" s="123" t="str">
        <x:f>IF(AE19=1,"可分析","需检查")</x:f>
        <x:v>需检查</x:v>
      </x:c>
    </x:row>
    <x:row r="20" ht="24" customHeight="1">
      <x:c r="A20" s="122"/>
      <x:c r="B20" s="127"/>
      <x:c r="C20" s="122"/>
      <x:c r="D20" s="122"/>
      <x:c r="E20" s="122"/>
      <x:c r="F20" s="122"/>
      <x:c r="G20" s="148"/>
      <x:c r="H20" s="148"/>
      <x:c r="I20" s="148"/>
      <x:c r="J20" s="142"/>
      <x:c r="K20" s="122"/>
      <x:c r="L20" s="122"/>
      <x:c r="M20" s="122"/>
      <x:c r="N20" s="122"/>
      <x:c r="O20" s="130"/>
      <x:c r="P20" s="130"/>
      <x:c r="Q20" s="130"/>
      <x:c r="R20" s="130"/>
      <x:c r="S20" s="130"/>
      <x:c r="T20" s="133"/>
      <x:c r="U20" s="145"/>
      <x:c r="V20" s="133"/>
      <x:c r="W20" s="130"/>
      <x:c r="X20" s="130"/>
      <x:c r="Y20" s="148"/>
      <x:c r="Z20" s="148"/>
      <x:c r="AA20" s="136" t="str">
        <x:f>IF(O20&gt;0,(P20+Q20+R20+S20)/O20,"")</x:f>
      </x:c>
      <x:c r="AB20" s="136" t="str">
        <x:f>IF(O20&gt;0,W20/O20,"")</x:f>
      </x:c>
      <x:c r="AC20" s="136" t="str">
        <x:f>IF(W20&gt;0,X20/W20,"")</x:f>
      </x:c>
      <x:c r="AD20" s="123" t="str">
        <x:f>IF(J20="","",IF(J20&lt;=10,"≤10秒",IF(J20&lt;=20,"11—20秒",IF(J20&lt;=30,"21—30秒","&gt;30秒"))))</x:f>
      </x:c>
      <x:c r="AE20" s="139" t="n">
        <x:f>(IF(A20&lt;&gt;"",1,0)+IF(D20&lt;&gt;"",1,0)+IF(O20&gt;0,1,0)+IF(OR(G20&lt;&gt;"",H20&lt;&gt;"",I20&lt;&gt;""),1,0)+IF(OR(T20&lt;&gt;"",U20&lt;&gt;"",V20&lt;&gt;""),1,0))/5</x:f>
        <x:v>0</x:v>
      </x:c>
      <x:c r="AF20" s="123" t="str">
        <x:f>IF(AE20=1,"可分析","需检查")</x:f>
        <x:v>需检查</x:v>
      </x:c>
    </x:row>
    <x:row r="21" ht="24" customHeight="1">
      <x:c r="A21" s="122"/>
      <x:c r="B21" s="127"/>
      <x:c r="C21" s="122"/>
      <x:c r="D21" s="122"/>
      <x:c r="E21" s="122"/>
      <x:c r="F21" s="122"/>
      <x:c r="G21" s="148"/>
      <x:c r="H21" s="148"/>
      <x:c r="I21" s="148"/>
      <x:c r="J21" s="142"/>
      <x:c r="K21" s="122"/>
      <x:c r="L21" s="122"/>
      <x:c r="M21" s="122"/>
      <x:c r="N21" s="122"/>
      <x:c r="O21" s="130"/>
      <x:c r="P21" s="130"/>
      <x:c r="Q21" s="130"/>
      <x:c r="R21" s="130"/>
      <x:c r="S21" s="130"/>
      <x:c r="T21" s="133"/>
      <x:c r="U21" s="145"/>
      <x:c r="V21" s="133"/>
      <x:c r="W21" s="130"/>
      <x:c r="X21" s="130"/>
      <x:c r="Y21" s="148"/>
      <x:c r="Z21" s="148"/>
      <x:c r="AA21" s="136" t="str">
        <x:f>IF(O21&gt;0,(P21+Q21+R21+S21)/O21,"")</x:f>
      </x:c>
      <x:c r="AB21" s="136" t="str">
        <x:f>IF(O21&gt;0,W21/O21,"")</x:f>
      </x:c>
      <x:c r="AC21" s="136" t="str">
        <x:f>IF(W21&gt;0,X21/W21,"")</x:f>
      </x:c>
      <x:c r="AD21" s="123" t="str">
        <x:f>IF(J21="","",IF(J21&lt;=10,"≤10秒",IF(J21&lt;=20,"11—20秒",IF(J21&lt;=30,"21—30秒","&gt;30秒"))))</x:f>
      </x:c>
      <x:c r="AE21" s="139" t="n">
        <x:f>(IF(A21&lt;&gt;"",1,0)+IF(D21&lt;&gt;"",1,0)+IF(O21&gt;0,1,0)+IF(OR(G21&lt;&gt;"",H21&lt;&gt;"",I21&lt;&gt;""),1,0)+IF(OR(T21&lt;&gt;"",U21&lt;&gt;"",V21&lt;&gt;""),1,0))/5</x:f>
        <x:v>0</x:v>
      </x:c>
      <x:c r="AF21" s="123" t="str">
        <x:f>IF(AE21=1,"可分析","需检查")</x:f>
        <x:v>需检查</x:v>
      </x:c>
    </x:row>
    <x:row r="22" ht="24" customHeight="1">
      <x:c r="A22" s="122"/>
      <x:c r="B22" s="127"/>
      <x:c r="C22" s="122"/>
      <x:c r="D22" s="122"/>
      <x:c r="E22" s="122"/>
      <x:c r="F22" s="122"/>
      <x:c r="G22" s="148"/>
      <x:c r="H22" s="148"/>
      <x:c r="I22" s="148"/>
      <x:c r="J22" s="142"/>
      <x:c r="K22" s="122"/>
      <x:c r="L22" s="122"/>
      <x:c r="M22" s="122"/>
      <x:c r="N22" s="122"/>
      <x:c r="O22" s="130"/>
      <x:c r="P22" s="130"/>
      <x:c r="Q22" s="130"/>
      <x:c r="R22" s="130"/>
      <x:c r="S22" s="130"/>
      <x:c r="T22" s="133"/>
      <x:c r="U22" s="145"/>
      <x:c r="V22" s="133"/>
      <x:c r="W22" s="130"/>
      <x:c r="X22" s="130"/>
      <x:c r="Y22" s="148"/>
      <x:c r="Z22" s="148"/>
      <x:c r="AA22" s="136" t="str">
        <x:f>IF(O22&gt;0,(P22+Q22+R22+S22)/O22,"")</x:f>
      </x:c>
      <x:c r="AB22" s="136" t="str">
        <x:f>IF(O22&gt;0,W22/O22,"")</x:f>
      </x:c>
      <x:c r="AC22" s="136" t="str">
        <x:f>IF(W22&gt;0,X22/W22,"")</x:f>
      </x:c>
      <x:c r="AD22" s="123" t="str">
        <x:f>IF(J22="","",IF(J22&lt;=10,"≤10秒",IF(J22&lt;=20,"11—20秒",IF(J22&lt;=30,"21—30秒","&gt;30秒"))))</x:f>
      </x:c>
      <x:c r="AE22" s="139" t="n">
        <x:f>(IF(A22&lt;&gt;"",1,0)+IF(D22&lt;&gt;"",1,0)+IF(O22&gt;0,1,0)+IF(OR(G22&lt;&gt;"",H22&lt;&gt;"",I22&lt;&gt;""),1,0)+IF(OR(T22&lt;&gt;"",U22&lt;&gt;"",V22&lt;&gt;""),1,0))/5</x:f>
        <x:v>0</x:v>
      </x:c>
      <x:c r="AF22" s="123" t="str">
        <x:f>IF(AE22=1,"可分析","需检查")</x:f>
        <x:v>需检查</x:v>
      </x:c>
    </x:row>
    <x:row r="23" ht="24" customHeight="1">
      <x:c r="A23" s="122"/>
      <x:c r="B23" s="127"/>
      <x:c r="C23" s="122"/>
      <x:c r="D23" s="122"/>
      <x:c r="E23" s="122"/>
      <x:c r="F23" s="122"/>
      <x:c r="G23" s="148"/>
      <x:c r="H23" s="148"/>
      <x:c r="I23" s="148"/>
      <x:c r="J23" s="142"/>
      <x:c r="K23" s="122"/>
      <x:c r="L23" s="122"/>
      <x:c r="M23" s="122"/>
      <x:c r="N23" s="122"/>
      <x:c r="O23" s="130"/>
      <x:c r="P23" s="130"/>
      <x:c r="Q23" s="130"/>
      <x:c r="R23" s="130"/>
      <x:c r="S23" s="130"/>
      <x:c r="T23" s="133"/>
      <x:c r="U23" s="145"/>
      <x:c r="V23" s="133"/>
      <x:c r="W23" s="130"/>
      <x:c r="X23" s="130"/>
      <x:c r="Y23" s="148"/>
      <x:c r="Z23" s="148"/>
      <x:c r="AA23" s="136" t="str">
        <x:f>IF(O23&gt;0,(P23+Q23+R23+S23)/O23,"")</x:f>
      </x:c>
      <x:c r="AB23" s="136" t="str">
        <x:f>IF(O23&gt;0,W23/O23,"")</x:f>
      </x:c>
      <x:c r="AC23" s="136" t="str">
        <x:f>IF(W23&gt;0,X23/W23,"")</x:f>
      </x:c>
      <x:c r="AD23" s="123" t="str">
        <x:f>IF(J23="","",IF(J23&lt;=10,"≤10秒",IF(J23&lt;=20,"11—20秒",IF(J23&lt;=30,"21—30秒","&gt;30秒"))))</x:f>
      </x:c>
      <x:c r="AE23" s="139" t="n">
        <x:f>(IF(A23&lt;&gt;"",1,0)+IF(D23&lt;&gt;"",1,0)+IF(O23&gt;0,1,0)+IF(OR(G23&lt;&gt;"",H23&lt;&gt;"",I23&lt;&gt;""),1,0)+IF(OR(T23&lt;&gt;"",U23&lt;&gt;"",V23&lt;&gt;""),1,0))/5</x:f>
        <x:v>0</x:v>
      </x:c>
      <x:c r="AF23" s="123" t="str">
        <x:f>IF(AE23=1,"可分析","需检查")</x:f>
        <x:v>需检查</x:v>
      </x:c>
    </x:row>
    <x:row r="24" ht="24" customHeight="1">
      <x:c r="A24" s="122"/>
      <x:c r="B24" s="127"/>
      <x:c r="C24" s="122"/>
      <x:c r="D24" s="122"/>
      <x:c r="E24" s="122"/>
      <x:c r="F24" s="122"/>
      <x:c r="G24" s="148"/>
      <x:c r="H24" s="148"/>
      <x:c r="I24" s="148"/>
      <x:c r="J24" s="142"/>
      <x:c r="K24" s="122"/>
      <x:c r="L24" s="122"/>
      <x:c r="M24" s="122"/>
      <x:c r="N24" s="122"/>
      <x:c r="O24" s="130"/>
      <x:c r="P24" s="130"/>
      <x:c r="Q24" s="130"/>
      <x:c r="R24" s="130"/>
      <x:c r="S24" s="130"/>
      <x:c r="T24" s="133"/>
      <x:c r="U24" s="145"/>
      <x:c r="V24" s="133"/>
      <x:c r="W24" s="130"/>
      <x:c r="X24" s="130"/>
      <x:c r="Y24" s="148"/>
      <x:c r="Z24" s="148"/>
      <x:c r="AA24" s="136" t="str">
        <x:f>IF(O24&gt;0,(P24+Q24+R24+S24)/O24,"")</x:f>
      </x:c>
      <x:c r="AB24" s="136" t="str">
        <x:f>IF(O24&gt;0,W24/O24,"")</x:f>
      </x:c>
      <x:c r="AC24" s="136" t="str">
        <x:f>IF(W24&gt;0,X24/W24,"")</x:f>
      </x:c>
      <x:c r="AD24" s="123" t="str">
        <x:f>IF(J24="","",IF(J24&lt;=10,"≤10秒",IF(J24&lt;=20,"11—20秒",IF(J24&lt;=30,"21—30秒","&gt;30秒"))))</x:f>
      </x:c>
      <x:c r="AE24" s="139" t="n">
        <x:f>(IF(A24&lt;&gt;"",1,0)+IF(D24&lt;&gt;"",1,0)+IF(O24&gt;0,1,0)+IF(OR(G24&lt;&gt;"",H24&lt;&gt;"",I24&lt;&gt;""),1,0)+IF(OR(T24&lt;&gt;"",U24&lt;&gt;"",V24&lt;&gt;""),1,0))/5</x:f>
        <x:v>0</x:v>
      </x:c>
      <x:c r="AF24" s="123" t="str">
        <x:f>IF(AE24=1,"可分析","需检查")</x:f>
        <x:v>需检查</x:v>
      </x:c>
    </x:row>
    <x:row r="25" ht="24" customHeight="1">
      <x:c r="A25" s="122"/>
      <x:c r="B25" s="127"/>
      <x:c r="C25" s="122"/>
      <x:c r="D25" s="122"/>
      <x:c r="E25" s="122"/>
      <x:c r="F25" s="122"/>
      <x:c r="G25" s="148"/>
      <x:c r="H25" s="148"/>
      <x:c r="I25" s="148"/>
      <x:c r="J25" s="142"/>
      <x:c r="K25" s="122"/>
      <x:c r="L25" s="122"/>
      <x:c r="M25" s="122"/>
      <x:c r="N25" s="122"/>
      <x:c r="O25" s="130"/>
      <x:c r="P25" s="130"/>
      <x:c r="Q25" s="130"/>
      <x:c r="R25" s="130"/>
      <x:c r="S25" s="130"/>
      <x:c r="T25" s="133"/>
      <x:c r="U25" s="145"/>
      <x:c r="V25" s="133"/>
      <x:c r="W25" s="130"/>
      <x:c r="X25" s="130"/>
      <x:c r="Y25" s="148"/>
      <x:c r="Z25" s="148"/>
      <x:c r="AA25" s="136" t="str">
        <x:f>IF(O25&gt;0,(P25+Q25+R25+S25)/O25,"")</x:f>
      </x:c>
      <x:c r="AB25" s="136" t="str">
        <x:f>IF(O25&gt;0,W25/O25,"")</x:f>
      </x:c>
      <x:c r="AC25" s="136" t="str">
        <x:f>IF(W25&gt;0,X25/W25,"")</x:f>
      </x:c>
      <x:c r="AD25" s="123" t="str">
        <x:f>IF(J25="","",IF(J25&lt;=10,"≤10秒",IF(J25&lt;=20,"11—20秒",IF(J25&lt;=30,"21—30秒","&gt;30秒"))))</x:f>
      </x:c>
      <x:c r="AE25" s="139" t="n">
        <x:f>(IF(A25&lt;&gt;"",1,0)+IF(D25&lt;&gt;"",1,0)+IF(O25&gt;0,1,0)+IF(OR(G25&lt;&gt;"",H25&lt;&gt;"",I25&lt;&gt;""),1,0)+IF(OR(T25&lt;&gt;"",U25&lt;&gt;"",V25&lt;&gt;""),1,0))/5</x:f>
        <x:v>0</x:v>
      </x:c>
      <x:c r="AF25" s="123" t="str">
        <x:f>IF(AE25=1,"可分析","需检查")</x:f>
        <x:v>需检查</x:v>
      </x:c>
    </x:row>
    <x:row r="26" ht="24" customHeight="1">
      <x:c r="A26" s="122"/>
      <x:c r="B26" s="127"/>
      <x:c r="C26" s="122"/>
      <x:c r="D26" s="122"/>
      <x:c r="E26" s="122"/>
      <x:c r="F26" s="122"/>
      <x:c r="G26" s="148"/>
      <x:c r="H26" s="148"/>
      <x:c r="I26" s="148"/>
      <x:c r="J26" s="142"/>
      <x:c r="K26" s="122"/>
      <x:c r="L26" s="122"/>
      <x:c r="M26" s="122"/>
      <x:c r="N26" s="122"/>
      <x:c r="O26" s="130"/>
      <x:c r="P26" s="130"/>
      <x:c r="Q26" s="130"/>
      <x:c r="R26" s="130"/>
      <x:c r="S26" s="130"/>
      <x:c r="T26" s="133"/>
      <x:c r="U26" s="145"/>
      <x:c r="V26" s="133"/>
      <x:c r="W26" s="130"/>
      <x:c r="X26" s="130"/>
      <x:c r="Y26" s="148"/>
      <x:c r="Z26" s="148"/>
      <x:c r="AA26" s="136" t="str">
        <x:f>IF(O26&gt;0,(P26+Q26+R26+S26)/O26,"")</x:f>
      </x:c>
      <x:c r="AB26" s="136" t="str">
        <x:f>IF(O26&gt;0,W26/O26,"")</x:f>
      </x:c>
      <x:c r="AC26" s="136" t="str">
        <x:f>IF(W26&gt;0,X26/W26,"")</x:f>
      </x:c>
      <x:c r="AD26" s="123" t="str">
        <x:f>IF(J26="","",IF(J26&lt;=10,"≤10秒",IF(J26&lt;=20,"11—20秒",IF(J26&lt;=30,"21—30秒","&gt;30秒"))))</x:f>
      </x:c>
      <x:c r="AE26" s="139" t="n">
        <x:f>(IF(A26&lt;&gt;"",1,0)+IF(D26&lt;&gt;"",1,0)+IF(O26&gt;0,1,0)+IF(OR(G26&lt;&gt;"",H26&lt;&gt;"",I26&lt;&gt;""),1,0)+IF(OR(T26&lt;&gt;"",U26&lt;&gt;"",V26&lt;&gt;""),1,0))/5</x:f>
        <x:v>0</x:v>
      </x:c>
      <x:c r="AF26" s="123" t="str">
        <x:f>IF(AE26=1,"可分析","需检查")</x:f>
        <x:v>需检查</x:v>
      </x:c>
    </x:row>
    <x:row r="27" ht="24" customHeight="1">
      <x:c r="A27" s="122"/>
      <x:c r="B27" s="127"/>
      <x:c r="C27" s="122"/>
      <x:c r="D27" s="122"/>
      <x:c r="E27" s="122"/>
      <x:c r="F27" s="122"/>
      <x:c r="G27" s="148"/>
      <x:c r="H27" s="148"/>
      <x:c r="I27" s="148"/>
      <x:c r="J27" s="142"/>
      <x:c r="K27" s="122"/>
      <x:c r="L27" s="122"/>
      <x:c r="M27" s="122"/>
      <x:c r="N27" s="122"/>
      <x:c r="O27" s="130"/>
      <x:c r="P27" s="130"/>
      <x:c r="Q27" s="130"/>
      <x:c r="R27" s="130"/>
      <x:c r="S27" s="130"/>
      <x:c r="T27" s="133"/>
      <x:c r="U27" s="145"/>
      <x:c r="V27" s="133"/>
      <x:c r="W27" s="130"/>
      <x:c r="X27" s="130"/>
      <x:c r="Y27" s="148"/>
      <x:c r="Z27" s="148"/>
      <x:c r="AA27" s="136" t="str">
        <x:f>IF(O27&gt;0,(P27+Q27+R27+S27)/O27,"")</x:f>
      </x:c>
      <x:c r="AB27" s="136" t="str">
        <x:f>IF(O27&gt;0,W27/O27,"")</x:f>
      </x:c>
      <x:c r="AC27" s="136" t="str">
        <x:f>IF(W27&gt;0,X27/W27,"")</x:f>
      </x:c>
      <x:c r="AD27" s="123" t="str">
        <x:f>IF(J27="","",IF(J27&lt;=10,"≤10秒",IF(J27&lt;=20,"11—20秒",IF(J27&lt;=30,"21—30秒","&gt;30秒"))))</x:f>
      </x:c>
      <x:c r="AE27" s="139" t="n">
        <x:f>(IF(A27&lt;&gt;"",1,0)+IF(D27&lt;&gt;"",1,0)+IF(O27&gt;0,1,0)+IF(OR(G27&lt;&gt;"",H27&lt;&gt;"",I27&lt;&gt;""),1,0)+IF(OR(T27&lt;&gt;"",U27&lt;&gt;"",V27&lt;&gt;""),1,0))/5</x:f>
        <x:v>0</x:v>
      </x:c>
      <x:c r="AF27" s="123" t="str">
        <x:f>IF(AE27=1,"可分析","需检查")</x:f>
        <x:v>需检查</x:v>
      </x:c>
    </x:row>
    <x:row r="28" ht="24" customHeight="1">
      <x:c r="A28" s="122"/>
      <x:c r="B28" s="127"/>
      <x:c r="C28" s="122"/>
      <x:c r="D28" s="122"/>
      <x:c r="E28" s="122"/>
      <x:c r="F28" s="122"/>
      <x:c r="G28" s="148"/>
      <x:c r="H28" s="148"/>
      <x:c r="I28" s="148"/>
      <x:c r="J28" s="142"/>
      <x:c r="K28" s="122"/>
      <x:c r="L28" s="122"/>
      <x:c r="M28" s="122"/>
      <x:c r="N28" s="122"/>
      <x:c r="O28" s="130"/>
      <x:c r="P28" s="130"/>
      <x:c r="Q28" s="130"/>
      <x:c r="R28" s="130"/>
      <x:c r="S28" s="130"/>
      <x:c r="T28" s="133"/>
      <x:c r="U28" s="145"/>
      <x:c r="V28" s="133"/>
      <x:c r="W28" s="130"/>
      <x:c r="X28" s="130"/>
      <x:c r="Y28" s="148"/>
      <x:c r="Z28" s="148"/>
      <x:c r="AA28" s="136" t="str">
        <x:f>IF(O28&gt;0,(P28+Q28+R28+S28)/O28,"")</x:f>
      </x:c>
      <x:c r="AB28" s="136" t="str">
        <x:f>IF(O28&gt;0,W28/O28,"")</x:f>
      </x:c>
      <x:c r="AC28" s="136" t="str">
        <x:f>IF(W28&gt;0,X28/W28,"")</x:f>
      </x:c>
      <x:c r="AD28" s="123" t="str">
        <x:f>IF(J28="","",IF(J28&lt;=10,"≤10秒",IF(J28&lt;=20,"11—20秒",IF(J28&lt;=30,"21—30秒","&gt;30秒"))))</x:f>
      </x:c>
      <x:c r="AE28" s="139" t="n">
        <x:f>(IF(A28&lt;&gt;"",1,0)+IF(D28&lt;&gt;"",1,0)+IF(O28&gt;0,1,0)+IF(OR(G28&lt;&gt;"",H28&lt;&gt;"",I28&lt;&gt;""),1,0)+IF(OR(T28&lt;&gt;"",U28&lt;&gt;"",V28&lt;&gt;""),1,0))/5</x:f>
        <x:v>0</x:v>
      </x:c>
      <x:c r="AF28" s="123" t="str">
        <x:f>IF(AE28=1,"可分析","需检查")</x:f>
        <x:v>需检查</x:v>
      </x:c>
    </x:row>
    <x:row r="29" ht="24" customHeight="1">
      <x:c r="A29" s="122"/>
      <x:c r="B29" s="127"/>
      <x:c r="C29" s="122"/>
      <x:c r="D29" s="122"/>
      <x:c r="E29" s="122"/>
      <x:c r="F29" s="122"/>
      <x:c r="G29" s="148"/>
      <x:c r="H29" s="148"/>
      <x:c r="I29" s="148"/>
      <x:c r="J29" s="142"/>
      <x:c r="K29" s="122"/>
      <x:c r="L29" s="122"/>
      <x:c r="M29" s="122"/>
      <x:c r="N29" s="122"/>
      <x:c r="O29" s="130"/>
      <x:c r="P29" s="130"/>
      <x:c r="Q29" s="130"/>
      <x:c r="R29" s="130"/>
      <x:c r="S29" s="130"/>
      <x:c r="T29" s="133"/>
      <x:c r="U29" s="145"/>
      <x:c r="V29" s="133"/>
      <x:c r="W29" s="130"/>
      <x:c r="X29" s="130"/>
      <x:c r="Y29" s="148"/>
      <x:c r="Z29" s="148"/>
      <x:c r="AA29" s="136" t="str">
        <x:f>IF(O29&gt;0,(P29+Q29+R29+S29)/O29,"")</x:f>
      </x:c>
      <x:c r="AB29" s="136" t="str">
        <x:f>IF(O29&gt;0,W29/O29,"")</x:f>
      </x:c>
      <x:c r="AC29" s="136" t="str">
        <x:f>IF(W29&gt;0,X29/W29,"")</x:f>
      </x:c>
      <x:c r="AD29" s="123" t="str">
        <x:f>IF(J29="","",IF(J29&lt;=10,"≤10秒",IF(J29&lt;=20,"11—20秒",IF(J29&lt;=30,"21—30秒","&gt;30秒"))))</x:f>
      </x:c>
      <x:c r="AE29" s="139" t="n">
        <x:f>(IF(A29&lt;&gt;"",1,0)+IF(D29&lt;&gt;"",1,0)+IF(O29&gt;0,1,0)+IF(OR(G29&lt;&gt;"",H29&lt;&gt;"",I29&lt;&gt;""),1,0)+IF(OR(T29&lt;&gt;"",U29&lt;&gt;"",V29&lt;&gt;""),1,0))/5</x:f>
        <x:v>0</x:v>
      </x:c>
      <x:c r="AF29" s="123" t="str">
        <x:f>IF(AE29=1,"可分析","需检查")</x:f>
        <x:v>需检查</x:v>
      </x:c>
    </x:row>
    <x:row r="30" ht="24" customHeight="1">
      <x:c r="A30" s="122"/>
      <x:c r="B30" s="127"/>
      <x:c r="C30" s="122"/>
      <x:c r="D30" s="122"/>
      <x:c r="E30" s="122"/>
      <x:c r="F30" s="122"/>
      <x:c r="G30" s="148"/>
      <x:c r="H30" s="148"/>
      <x:c r="I30" s="148"/>
      <x:c r="J30" s="142"/>
      <x:c r="K30" s="122"/>
      <x:c r="L30" s="122"/>
      <x:c r="M30" s="122"/>
      <x:c r="N30" s="122"/>
      <x:c r="O30" s="130"/>
      <x:c r="P30" s="130"/>
      <x:c r="Q30" s="130"/>
      <x:c r="R30" s="130"/>
      <x:c r="S30" s="130"/>
      <x:c r="T30" s="133"/>
      <x:c r="U30" s="145"/>
      <x:c r="V30" s="133"/>
      <x:c r="W30" s="130"/>
      <x:c r="X30" s="130"/>
      <x:c r="Y30" s="148"/>
      <x:c r="Z30" s="148"/>
      <x:c r="AA30" s="136" t="str">
        <x:f>IF(O30&gt;0,(P30+Q30+R30+S30)/O30,"")</x:f>
      </x:c>
      <x:c r="AB30" s="136" t="str">
        <x:f>IF(O30&gt;0,W30/O30,"")</x:f>
      </x:c>
      <x:c r="AC30" s="136" t="str">
        <x:f>IF(W30&gt;0,X30/W30,"")</x:f>
      </x:c>
      <x:c r="AD30" s="123" t="str">
        <x:f>IF(J30="","",IF(J30&lt;=10,"≤10秒",IF(J30&lt;=20,"11—20秒",IF(J30&lt;=30,"21—30秒","&gt;30秒"))))</x:f>
      </x:c>
      <x:c r="AE30" s="139" t="n">
        <x:f>(IF(A30&lt;&gt;"",1,0)+IF(D30&lt;&gt;"",1,0)+IF(O30&gt;0,1,0)+IF(OR(G30&lt;&gt;"",H30&lt;&gt;"",I30&lt;&gt;""),1,0)+IF(OR(T30&lt;&gt;"",U30&lt;&gt;"",V30&lt;&gt;""),1,0))/5</x:f>
        <x:v>0</x:v>
      </x:c>
      <x:c r="AF30" s="123" t="str">
        <x:f>IF(AE30=1,"可分析","需检查")</x:f>
        <x:v>需检查</x:v>
      </x:c>
    </x:row>
    <x:row r="31" ht="24" customHeight="1">
      <x:c r="A31" s="122"/>
      <x:c r="B31" s="127"/>
      <x:c r="C31" s="122"/>
      <x:c r="D31" s="122"/>
      <x:c r="E31" s="122"/>
      <x:c r="F31" s="122"/>
      <x:c r="G31" s="148"/>
      <x:c r="H31" s="148"/>
      <x:c r="I31" s="148"/>
      <x:c r="J31" s="142"/>
      <x:c r="K31" s="122"/>
      <x:c r="L31" s="122"/>
      <x:c r="M31" s="122"/>
      <x:c r="N31" s="122"/>
      <x:c r="O31" s="130"/>
      <x:c r="P31" s="130"/>
      <x:c r="Q31" s="130"/>
      <x:c r="R31" s="130"/>
      <x:c r="S31" s="130"/>
      <x:c r="T31" s="133"/>
      <x:c r="U31" s="145"/>
      <x:c r="V31" s="133"/>
      <x:c r="W31" s="130"/>
      <x:c r="X31" s="130"/>
      <x:c r="Y31" s="148"/>
      <x:c r="Z31" s="148"/>
      <x:c r="AA31" s="136" t="str">
        <x:f>IF(O31&gt;0,(P31+Q31+R31+S31)/O31,"")</x:f>
      </x:c>
      <x:c r="AB31" s="136" t="str">
        <x:f>IF(O31&gt;0,W31/O31,"")</x:f>
      </x:c>
      <x:c r="AC31" s="136" t="str">
        <x:f>IF(W31&gt;0,X31/W31,"")</x:f>
      </x:c>
      <x:c r="AD31" s="123" t="str">
        <x:f>IF(J31="","",IF(J31&lt;=10,"≤10秒",IF(J31&lt;=20,"11—20秒",IF(J31&lt;=30,"21—30秒","&gt;30秒"))))</x:f>
      </x:c>
      <x:c r="AE31" s="139" t="n">
        <x:f>(IF(A31&lt;&gt;"",1,0)+IF(D31&lt;&gt;"",1,0)+IF(O31&gt;0,1,0)+IF(OR(G31&lt;&gt;"",H31&lt;&gt;"",I31&lt;&gt;""),1,0)+IF(OR(T31&lt;&gt;"",U31&lt;&gt;"",V31&lt;&gt;""),1,0))/5</x:f>
        <x:v>0</x:v>
      </x:c>
      <x:c r="AF31" s="123" t="str">
        <x:f>IF(AE31=1,"可分析","需检查")</x:f>
        <x:v>需检查</x:v>
      </x:c>
    </x:row>
    <x:row r="32" ht="24" customHeight="1">
      <x:c r="A32" s="122"/>
      <x:c r="B32" s="127"/>
      <x:c r="C32" s="122"/>
      <x:c r="D32" s="122"/>
      <x:c r="E32" s="122"/>
      <x:c r="F32" s="122"/>
      <x:c r="G32" s="148"/>
      <x:c r="H32" s="148"/>
      <x:c r="I32" s="148"/>
      <x:c r="J32" s="142"/>
      <x:c r="K32" s="122"/>
      <x:c r="L32" s="122"/>
      <x:c r="M32" s="122"/>
      <x:c r="N32" s="122"/>
      <x:c r="O32" s="130"/>
      <x:c r="P32" s="130"/>
      <x:c r="Q32" s="130"/>
      <x:c r="R32" s="130"/>
      <x:c r="S32" s="130"/>
      <x:c r="T32" s="133"/>
      <x:c r="U32" s="145"/>
      <x:c r="V32" s="133"/>
      <x:c r="W32" s="130"/>
      <x:c r="X32" s="130"/>
      <x:c r="Y32" s="148"/>
      <x:c r="Z32" s="148"/>
      <x:c r="AA32" s="136" t="str">
        <x:f>IF(O32&gt;0,(P32+Q32+R32+S32)/O32,"")</x:f>
      </x:c>
      <x:c r="AB32" s="136" t="str">
        <x:f>IF(O32&gt;0,W32/O32,"")</x:f>
      </x:c>
      <x:c r="AC32" s="136" t="str">
        <x:f>IF(W32&gt;0,X32/W32,"")</x:f>
      </x:c>
      <x:c r="AD32" s="123" t="str">
        <x:f>IF(J32="","",IF(J32&lt;=10,"≤10秒",IF(J32&lt;=20,"11—20秒",IF(J32&lt;=30,"21—30秒","&gt;30秒"))))</x:f>
      </x:c>
      <x:c r="AE32" s="139" t="n">
        <x:f>(IF(A32&lt;&gt;"",1,0)+IF(D32&lt;&gt;"",1,0)+IF(O32&gt;0,1,0)+IF(OR(G32&lt;&gt;"",H32&lt;&gt;"",I32&lt;&gt;""),1,0)+IF(OR(T32&lt;&gt;"",U32&lt;&gt;"",V32&lt;&gt;""),1,0))/5</x:f>
        <x:v>0</x:v>
      </x:c>
      <x:c r="AF32" s="123" t="str">
        <x:f>IF(AE32=1,"可分析","需检查")</x:f>
        <x:v>需检查</x:v>
      </x:c>
    </x:row>
    <x:row r="33" ht="24" customHeight="1">
      <x:c r="A33" s="122"/>
      <x:c r="B33" s="127"/>
      <x:c r="C33" s="122"/>
      <x:c r="D33" s="122"/>
      <x:c r="E33" s="122"/>
      <x:c r="F33" s="122"/>
      <x:c r="G33" s="148"/>
      <x:c r="H33" s="148"/>
      <x:c r="I33" s="148"/>
      <x:c r="J33" s="142"/>
      <x:c r="K33" s="122"/>
      <x:c r="L33" s="122"/>
      <x:c r="M33" s="122"/>
      <x:c r="N33" s="122"/>
      <x:c r="O33" s="130"/>
      <x:c r="P33" s="130"/>
      <x:c r="Q33" s="130"/>
      <x:c r="R33" s="130"/>
      <x:c r="S33" s="130"/>
      <x:c r="T33" s="133"/>
      <x:c r="U33" s="145"/>
      <x:c r="V33" s="133"/>
      <x:c r="W33" s="130"/>
      <x:c r="X33" s="130"/>
      <x:c r="Y33" s="148"/>
      <x:c r="Z33" s="148"/>
      <x:c r="AA33" s="136" t="str">
        <x:f>IF(O33&gt;0,(P33+Q33+R33+S33)/O33,"")</x:f>
      </x:c>
      <x:c r="AB33" s="136" t="str">
        <x:f>IF(O33&gt;0,W33/O33,"")</x:f>
      </x:c>
      <x:c r="AC33" s="136" t="str">
        <x:f>IF(W33&gt;0,X33/W33,"")</x:f>
      </x:c>
      <x:c r="AD33" s="123" t="str">
        <x:f>IF(J33="","",IF(J33&lt;=10,"≤10秒",IF(J33&lt;=20,"11—20秒",IF(J33&lt;=30,"21—30秒","&gt;30秒"))))</x:f>
      </x:c>
      <x:c r="AE33" s="139" t="n">
        <x:f>(IF(A33&lt;&gt;"",1,0)+IF(D33&lt;&gt;"",1,0)+IF(O33&gt;0,1,0)+IF(OR(G33&lt;&gt;"",H33&lt;&gt;"",I33&lt;&gt;""),1,0)+IF(OR(T33&lt;&gt;"",U33&lt;&gt;"",V33&lt;&gt;""),1,0))/5</x:f>
        <x:v>0</x:v>
      </x:c>
      <x:c r="AF33" s="123" t="str">
        <x:f>IF(AE33=1,"可分析","需检查")</x:f>
        <x:v>需检查</x:v>
      </x:c>
    </x:row>
    <x:row r="34" ht="24" customHeight="1">
      <x:c r="A34" s="124"/>
      <x:c r="B34" s="128"/>
      <x:c r="C34" s="124"/>
      <x:c r="D34" s="124"/>
      <x:c r="E34" s="124"/>
      <x:c r="F34" s="124"/>
      <x:c r="G34" s="149"/>
      <x:c r="H34" s="149"/>
      <x:c r="I34" s="149"/>
      <x:c r="J34" s="143"/>
      <x:c r="K34" s="124"/>
      <x:c r="L34" s="124"/>
      <x:c r="M34" s="124"/>
      <x:c r="N34" s="124"/>
      <x:c r="O34" s="131"/>
      <x:c r="P34" s="131"/>
      <x:c r="Q34" s="131"/>
      <x:c r="R34" s="131"/>
      <x:c r="S34" s="131"/>
      <x:c r="T34" s="134"/>
      <x:c r="U34" s="146"/>
      <x:c r="V34" s="134"/>
      <x:c r="W34" s="131"/>
      <x:c r="X34" s="131"/>
      <x:c r="Y34" s="149"/>
      <x:c r="Z34" s="149"/>
      <x:c r="AA34" s="137" t="str">
        <x:f>IF(O34&gt;0,(P34+Q34+R34+S34)/O34,"")</x:f>
      </x:c>
      <x:c r="AB34" s="137" t="str">
        <x:f>IF(O34&gt;0,W34/O34,"")</x:f>
      </x:c>
      <x:c r="AC34" s="137" t="str">
        <x:f>IF(W34&gt;0,X34/W34,"")</x:f>
      </x:c>
      <x:c r="AD34" s="125" t="str">
        <x:f>IF(J34="","",IF(J34&lt;=10,"≤10秒",IF(J34&lt;=20,"11—20秒",IF(J34&lt;=30,"21—30秒","&gt;30秒"))))</x:f>
      </x:c>
      <x:c r="AE34" s="140" t="n">
        <x:f>(IF(A34&lt;&gt;"",1,0)+IF(D34&lt;&gt;"",1,0)+IF(O34&gt;0,1,0)+IF(OR(G34&lt;&gt;"",H34&lt;&gt;"",I34&lt;&gt;""),1,0)+IF(OR(T34&lt;&gt;"",U34&lt;&gt;"",V34&lt;&gt;""),1,0))/5</x:f>
        <x:v>0</x:v>
      </x:c>
      <x:c r="AF34" s="125" t="str">
        <x:f>IF(AE34=1,"可分析","需检查")</x:f>
        <x:v>需检查</x:v>
      </x:c>
    </x:row>
  </x:sheetData>
  <x:mergeCells>
    <x:mergeCell ref="A1:AF2"/>
    <x:mergeCell ref="A3:Z3"/>
    <x:mergeCell ref="AA3:AF3"/>
  </x:mergeCells>
  <x:conditionalFormatting sqref="AF5:AF34">
    <x:cfRule type="containsText" dxfId="0" priority="1" operator="containsText" text="可分析"/>
    <x:cfRule type="containsText" dxfId="1" priority="2" operator="containsText" text="需检查"/>
  </x:conditionalFormatting>
  <x:conditionalFormatting sqref="AE5:AE34">
    <x:cfRule type="dataBar" priority="3">
      <x:dataBar>
        <x:cfvo type="min"/>
        <x:cfvo type="max"/>
        <x:color rgb="FF13A89E"/>
      </x:dataBar>
      <x:extLst>
        <x:ext xmlns:x14="http://schemas.microsoft.com/office/spreadsheetml/2009/9/main" uri="{B025F937-C7B1-47D3-B67F-A62EFF666E3E}">
          <x14:id>{1BB3832B-75CB-5F99-3216-692EDA2E530E}</x14:id>
        </x:ext>
      </x:extLst>
    </x:cfRule>
  </x:conditionalFormatting>
  <x:dataValidations count="7">
    <x:dataValidation type="list" sqref="K5:N34">
      <x:formula1>"是,否,未知"</x:formula1>
    </x:dataValidation>
    <x:dataValidation type="list" sqref="E5:E34">
      <x:formula1>"≤49元,50-99元,100-199元,200-499元,≥500元"</x:formula1>
    </x:dataValidation>
    <x:dataValidation type="whole" operator="between" sqref="J5:J34">
      <x:formula1>1</x:formula1>
      <x:formula2>300</x:formula2>
    </x:dataValidation>
    <x:dataValidation type="whole" operator="between" sqref="O5:S34">
      <x:formula1>0</x:formula1>
      <x:formula2>1000000000</x:formula2>
    </x:dataValidation>
    <x:dataValidation type="whole" operator="between" sqref="W5:X34">
      <x:formula1>0</x:formula1>
      <x:formula2>1000000000</x:formula2>
    </x:dataValidation>
    <x:dataValidation type="decimal" operator="between" sqref="T5:T34">
      <x:formula1>0</x:formula1>
      <x:formula2>1</x:formula2>
    </x:dataValidation>
    <x:dataValidation type="decimal" operator="between" sqref="V5:V34">
      <x:formula1>0</x:formula1>
      <x:formula2>1</x:formula2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" id="{1BB3832B-75CB-5F99-3216-692EDA2E530E}">
            <x14:dataBar gradient="1">
              <x14:cfvo type="min"/>
              <x14:cfvo type="max"/>
              <x14:fillColor rgb="FF13A89E"/>
            </x14:dataBar>
          </x14:cfRule>
          <xm:sqref>AE5:AE34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109999656677246" hidden="0" customWidth="1"/>
    <x:col min="2" max="2" width="10.220000267028809" hidden="0" customWidth="1"/>
    <x:col min="3" max="3" width="15.5600004196167" hidden="0" customWidth="1"/>
    <x:col min="4" max="4" width="16.110000610351562" hidden="0" customWidth="1"/>
    <x:col min="5" max="5" width="10" hidden="0" customWidth="1"/>
    <x:col min="6" max="6" width="10" hidden="0" customWidth="1"/>
    <x:col min="7" max="7" width="23.329999923706055" hidden="0" customWidth="1"/>
    <x:col min="8" max="8" width="36.66999816894531" hidden="0" customWidth="1"/>
    <x:col min="9" max="9" width="25.559999465942383" hidden="0" customWidth="1"/>
    <x:col min="10" max="10" width="8.670000076293945" hidden="0" customWidth="1"/>
    <x:col min="11" max="11" width="8.329999923706055" hidden="0" customWidth="1"/>
    <x:col min="12" max="12" width="8.329999923706055" hidden="0" customWidth="1"/>
    <x:col min="13" max="13" width="8.329999923706055" hidden="0" customWidth="1"/>
    <x:col min="14" max="14" width="8.329999923706055" hidden="0" customWidth="1"/>
    <x:col min="15" max="15" width="9.4399995803833" hidden="0" customWidth="1"/>
    <x:col min="16" max="16" width="7.78000020980835" hidden="0" customWidth="1"/>
    <x:col min="17" max="17" width="7.78000020980835" hidden="0" customWidth="1"/>
    <x:col min="18" max="18" width="7.78000020980835" hidden="0" customWidth="1"/>
    <x:col min="19" max="19" width="7.78000020980835" hidden="0" customWidth="1"/>
    <x:col min="20" max="20" width="10" hidden="0" customWidth="1"/>
    <x:col min="21" max="21" width="11.109999656677246" hidden="0" customWidth="1"/>
    <x:col min="22" max="22" width="10" hidden="0" customWidth="1"/>
    <x:col min="23" max="23" width="10" hidden="0" customWidth="1"/>
    <x:col min="24" max="24" width="7.78000020980835" hidden="0" customWidth="1"/>
    <x:col min="25" max="25" width="16.670000076293945" hidden="0" customWidth="1"/>
    <x:col min="26" max="26" width="16.670000076293945" hidden="0" customWidth="1"/>
    <x:col min="27" max="27" width="11.670000076293945" hidden="0" customWidth="1"/>
    <x:col min="28" max="28" width="12.779999732971191" hidden="0" customWidth="1"/>
    <x:col min="29" max="29" width="11.109999656677246" hidden="0" customWidth="1"/>
    <x:col min="30" max="30" width="10.5600004196167" hidden="0" customWidth="1"/>
    <x:col min="31" max="31" width="12.220000267028809" hidden="0" customWidth="1"/>
    <x:col min="32" max="32" width="10" hidden="0" customWidth="1"/>
  </x:cols>
  <x:sheetData>
    <x:row r="1" ht="52" customHeight="1">
      <x:c r="A1" s="4" t="str">
        <x:v>CreatorLens 20 条演示数据
单品：轻盈Go便携榨汁杯｜合成测试数据，不代表真实账号表现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</x:row>
    <x:row r="2" ht="52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  <x:c r="AA2" s="4"/>
      <x:c r="AB2" s="4"/>
      <x:c r="AC2" s="4"/>
      <x:c r="AD2" s="4"/>
      <x:c r="AE2" s="4"/>
      <x:c r="AF2" s="4"/>
    </x:row>
    <x:row r="3">
      <x:c r="A3" s="187" t="str">
        <x:v>黄色：用户输入字段｜带 *：硬性必填｜标题/脚本/Hook 至少一项｜完播率/平均播放时长/5秒留存至少推荐一项</x:v>
      </x:c>
      <x:c r="B3" s="187"/>
      <x:c r="C3" s="187"/>
      <x:c r="D3" s="187"/>
      <x:c r="E3" s="187"/>
      <x:c r="F3" s="187"/>
      <x:c r="G3" s="187"/>
      <x:c r="H3" s="187"/>
      <x:c r="I3" s="187"/>
      <x:c r="J3" s="187"/>
      <x:c r="K3" s="187"/>
      <x:c r="L3" s="187"/>
      <x:c r="M3" s="187"/>
      <x:c r="N3" s="187"/>
      <x:c r="O3" s="187"/>
      <x:c r="P3" s="187"/>
      <x:c r="Q3" s="187"/>
      <x:c r="R3" s="187"/>
      <x:c r="S3" s="187"/>
      <x:c r="T3" s="187"/>
      <x:c r="U3" s="187"/>
      <x:c r="V3" s="187"/>
      <x:c r="W3" s="187"/>
      <x:c r="X3" s="187"/>
      <x:c r="Y3" s="187"/>
      <x:c r="Z3" s="187"/>
      <x:c r="AA3" s="188" t="str">
        <x:v>灰色：系统派生字段（公式自动计算）</x:v>
      </x:c>
      <x:c r="AB3" s="188"/>
      <x:c r="AC3" s="188"/>
      <x:c r="AD3" s="188"/>
      <x:c r="AE3" s="188"/>
      <x:c r="AF3" s="188"/>
    </x:row>
    <x:row r="4" ht="48" customHeight="1">
      <x:c r="A4" s="74" t="str">
        <x:v>video_id*</x:v>
      </x:c>
      <x:c r="B4" s="75" t="str">
        <x:v>publish_date</x:v>
      </x:c>
      <x:c r="C4" s="75" t="str">
        <x:v>product_name</x:v>
      </x:c>
      <x:c r="D4" s="75" t="str">
        <x:v>category*</x:v>
      </x:c>
      <x:c r="E4" s="75" t="str">
        <x:v>price_band</x:v>
      </x:c>
      <x:c r="F4" s="75" t="str">
        <x:v>target_audience</x:v>
      </x:c>
      <x:c r="G4" s="75" t="str">
        <x:v>title</x:v>
      </x:c>
      <x:c r="H4" s="75" t="str">
        <x:v>script_or_subtitle</x:v>
      </x:c>
      <x:c r="I4" s="75" t="str">
        <x:v>hook_text</x:v>
      </x:c>
      <x:c r="J4" s="75" t="str">
        <x:v>duration_seconds</x:v>
      </x:c>
      <x:c r="K4" s="75" t="str">
        <x:v>person_on_camera</x:v>
      </x:c>
      <x:c r="L4" s="75" t="str">
        <x:v>scene_demo</x:v>
      </x:c>
      <x:c r="M4" s="75" t="str">
        <x:v>product_closeup</x:v>
      </x:c>
      <x:c r="N4" s="75" t="str">
        <x:v>before_after</x:v>
      </x:c>
      <x:c r="O4" s="75" t="str">
        <x:v>views*</x:v>
      </x:c>
      <x:c r="P4" s="75" t="str">
        <x:v>likes</x:v>
      </x:c>
      <x:c r="Q4" s="75" t="str">
        <x:v>comments</x:v>
      </x:c>
      <x:c r="R4" s="75" t="str">
        <x:v>favorites</x:v>
      </x:c>
      <x:c r="S4" s="75" t="str">
        <x:v>shares</x:v>
      </x:c>
      <x:c r="T4" s="75" t="str">
        <x:v>completion_rate</x:v>
      </x:c>
      <x:c r="U4" s="75" t="str">
        <x:v>avg_watch_time_seconds</x:v>
      </x:c>
      <x:c r="V4" s="75" t="str">
        <x:v>five_sec_retention</x:v>
      </x:c>
      <x:c r="W4" s="75" t="str">
        <x:v>product_clicks</x:v>
      </x:c>
      <x:c r="X4" s="75" t="str">
        <x:v>orders</x:v>
      </x:c>
      <x:c r="Y4" s="75" t="str">
        <x:v>notes</x:v>
      </x:c>
      <x:c r="Z4" s="76" t="str">
        <x:v>source_url</x:v>
      </x:c>
      <x:c r="AA4" s="16" t="str">
        <x:v>engagement_rate[系统]</x:v>
      </x:c>
      <x:c r="AB4" s="80" t="str">
        <x:v>product_click_rate[系统]</x:v>
      </x:c>
      <x:c r="AC4" s="80" t="str">
        <x:v>conversion_rate[系统]</x:v>
      </x:c>
      <x:c r="AD4" s="80" t="str">
        <x:v>duration_band[系统]</x:v>
      </x:c>
      <x:c r="AE4" s="80" t="str">
        <x:v>data_quality_score[系统]</x:v>
      </x:c>
      <x:c r="AF4" s="17" t="str">
        <x:v>record_status[系统]</x:v>
      </x:c>
    </x:row>
    <x:row r="5" ht="44" customHeight="1">
      <x:c r="A5" s="120" t="str">
        <x:v>V001</x:v>
      </x:c>
      <x:c r="B5" s="126" t="n">
        <x:v>46193</x:v>
      </x:c>
      <x:c r="C5" s="120" t="str">
        <x:v>轻盈Go便携榨汁杯</x:v>
      </x:c>
      <x:c r="D5" s="120" t="str">
        <x:v>小家电/便携榨汁杯</x:v>
      </x:c>
      <x:c r="E5" s="120" t="str">
        <x:v>50-99元</x:v>
      </x:c>
      <x:c r="F5" s="120" t="str">
        <x:v>上班族</x:v>
      </x:c>
      <x:c r="G5" s="147" t="str">
        <x:v>15秒打好一杯草莓果昔</x:v>
      </x:c>
      <x:c r="H5" s="147" t="str">
        <x:v>15秒，一杯草莓果昔就打好了。把切好的草莓和牛奶放进杯中，双击启动，随手就能带去上班。今天下单享新人券。</x:v>
      </x:c>
      <x:c r="I5" s="147" t="str">
        <x:v>15秒，一杯草莓果昔就打好了</x:v>
      </x:c>
      <x:c r="J5" s="141" t="n">
        <x:v>15</x:v>
      </x:c>
      <x:c r="K5" s="120" t="str">
        <x:v>是</x:v>
      </x:c>
      <x:c r="L5" s="120" t="str">
        <x:v>是</x:v>
      </x:c>
      <x:c r="M5" s="120" t="str">
        <x:v>是</x:v>
      </x:c>
      <x:c r="N5" s="120" t="str">
        <x:v>否</x:v>
      </x:c>
      <x:c r="O5" s="129" t="n">
        <x:v>18200</x:v>
      </x:c>
      <x:c r="P5" s="129" t="n">
        <x:v>950</x:v>
      </x:c>
      <x:c r="Q5" s="129" t="n">
        <x:v>84</x:v>
      </x:c>
      <x:c r="R5" s="129" t="n">
        <x:v>530</x:v>
      </x:c>
      <x:c r="S5" s="129" t="n">
        <x:v>160</x:v>
      </x:c>
      <x:c r="T5" s="132" t="n">
        <x:v>0.43</x:v>
      </x:c>
      <x:c r="U5" s="144" t="n">
        <x:v>8.8</x:v>
      </x:c>
      <x:c r="V5" s="132" t="n">
        <x:v>0.78</x:v>
      </x:c>
      <x:c r="W5" s="129" t="n">
        <x:v>1183</x:v>
      </x:c>
      <x:c r="X5" s="129" t="n">
        <x:v>97</x:v>
      </x:c>
      <x:c r="Y5" s="147" t="str">
        <x:v>效果前置；通勤场景</x:v>
      </x:c>
      <x:c r="Z5" s="147" t="str"/>
      <x:c r="AA5" s="135" t="n">
        <x:f>IF(O5&gt;0,(P5+Q5+R5+S5)/O5,"")</x:f>
        <x:v>0.09472527472527473</x:v>
      </x:c>
      <x:c r="AB5" s="135" t="n">
        <x:f>IF(O5&gt;0,W5/O5,"")</x:f>
        <x:v>0.065</x:v>
      </x:c>
      <x:c r="AC5" s="135" t="n">
        <x:f>IF(W5&gt;0,X5/W5,"")</x:f>
        <x:v>0.08199492814877431</x:v>
      </x:c>
      <x:c r="AD5" s="121" t="str">
        <x:f>IF(J5="","",IF(J5&lt;=10,"≤10秒",IF(J5&lt;=20,"11—20秒",IF(J5&lt;=30,"21—30秒","&gt;30秒"))))</x:f>
        <x:v>11—20秒</x:v>
      </x:c>
      <x:c r="AE5" s="138" t="n">
        <x:f>(IF(A5&lt;&gt;"",1,0)+IF(D5&lt;&gt;"",1,0)+IF(O5&gt;0,1,0)+IF(OR(G5&lt;&gt;"",H5&lt;&gt;"",I5&lt;&gt;""),1,0)+IF(OR(T5&lt;&gt;"",U5&lt;&gt;"",V5&lt;&gt;""),1,0))/5</x:f>
        <x:v>1</x:v>
      </x:c>
      <x:c r="AF5" s="121" t="str">
        <x:f>IF(AE5=1,"可分析","需检查")</x:f>
        <x:v>可分析</x:v>
      </x:c>
    </x:row>
    <x:row r="6" ht="44" customHeight="1">
      <x:c r="A6" s="122" t="str">
        <x:v>V002</x:v>
      </x:c>
      <x:c r="B6" s="127" t="n">
        <x:v>46196</x:v>
      </x:c>
      <x:c r="C6" s="122" t="str">
        <x:v>轻盈Go便携榨汁杯</x:v>
      </x:c>
      <x:c r="D6" s="122" t="str">
        <x:v>小家电/便携榨汁杯</x:v>
      </x:c>
      <x:c r="E6" s="122" t="str">
        <x:v>50-99元</x:v>
      </x:c>
      <x:c r="F6" s="122" t="str">
        <x:v>健身人群</x:v>
      </x:c>
      <x:c r="G6" s="148" t="str">
        <x:v>早上没时间做早餐？</x:v>
      </x:c>
      <x:c r="H6" s="148" t="str">
        <x:v>早上赶时间，早餐总是随便对付？前一晚把水果准备好，早上加牛奶双击启动，18秒做完一杯奶昔。点击商品看看容量。</x:v>
      </x:c>
      <x:c r="I6" s="148" t="str">
        <x:v>早上赶时间，早餐总是随便对付？</x:v>
      </x:c>
      <x:c r="J6" s="142" t="n">
        <x:v>18</x:v>
      </x:c>
      <x:c r="K6" s="122" t="str">
        <x:v>是</x:v>
      </x:c>
      <x:c r="L6" s="122" t="str">
        <x:v>是</x:v>
      </x:c>
      <x:c r="M6" s="122" t="str">
        <x:v>是</x:v>
      </x:c>
      <x:c r="N6" s="122" t="str">
        <x:v>否</x:v>
      </x:c>
      <x:c r="O6" s="130" t="n">
        <x:v>12600</x:v>
      </x:c>
      <x:c r="P6" s="130" t="n">
        <x:v>560</x:v>
      </x:c>
      <x:c r="Q6" s="130" t="n">
        <x:v>42</x:v>
      </x:c>
      <x:c r="R6" s="130" t="n">
        <x:v>270</x:v>
      </x:c>
      <x:c r="S6" s="130" t="n">
        <x:v>85</x:v>
      </x:c>
      <x:c r="T6" s="133" t="n">
        <x:v>0.33</x:v>
      </x:c>
      <x:c r="U6" s="145" t="n">
        <x:v>9.2</x:v>
      </x:c>
      <x:c r="V6" s="133" t="n">
        <x:v>0.68</x:v>
      </x:c>
      <x:c r="W6" s="130" t="n">
        <x:v>567</x:v>
      </x:c>
      <x:c r="X6" s="130" t="n">
        <x:v>43</x:v>
      </x:c>
      <x:c r="Y6" s="148" t="str">
        <x:v>痛点前置；早餐场景</x:v>
      </x:c>
      <x:c r="Z6" s="148" t="str"/>
      <x:c r="AA6" s="136" t="n">
        <x:f>IF(O6&gt;0,(P6+Q6+R6+S6)/O6,"")</x:f>
        <x:v>0.07595238095238095</x:v>
      </x:c>
      <x:c r="AB6" s="136" t="n">
        <x:f>IF(O6&gt;0,W6/O6,"")</x:f>
        <x:v>0.045</x:v>
      </x:c>
      <x:c r="AC6" s="136" t="n">
        <x:f>IF(W6&gt;0,X6/W6,"")</x:f>
        <x:v>0.07583774250440917</x:v>
      </x:c>
      <x:c r="AD6" s="123" t="str">
        <x:f>IF(J6="","",IF(J6&lt;=10,"≤10秒",IF(J6&lt;=20,"11—20秒",IF(J6&lt;=30,"21—30秒","&gt;30秒"))))</x:f>
        <x:v>11—20秒</x:v>
      </x:c>
      <x:c r="AE6" s="139" t="n">
        <x:f>(IF(A6&lt;&gt;"",1,0)+IF(D6&lt;&gt;"",1,0)+IF(O6&gt;0,1,0)+IF(OR(G6&lt;&gt;"",H6&lt;&gt;"",I6&lt;&gt;""),1,0)+IF(OR(T6&lt;&gt;"",U6&lt;&gt;"",V6&lt;&gt;""),1,0))/5</x:f>
        <x:v>1</x:v>
      </x:c>
      <x:c r="AF6" s="123" t="str">
        <x:f>IF(AE6=1,"可分析","需检查")</x:f>
        <x:v>可分析</x:v>
      </x:c>
    </x:row>
    <x:row r="7" ht="44" customHeight="1">
      <x:c r="A7" s="122" t="str">
        <x:v>V003</x:v>
      </x:c>
      <x:c r="B7" s="127" t="n">
        <x:v>46199</x:v>
      </x:c>
      <x:c r="C7" s="122" t="str">
        <x:v>轻盈Go便携榨汁杯</x:v>
      </x:c>
      <x:c r="D7" s="122" t="str">
        <x:v>小家电/便携榨汁杯</x:v>
      </x:c>
      <x:c r="E7" s="122" t="str">
        <x:v>50-99元</x:v>
      </x:c>
      <x:c r="F7" s="122" t="str">
        <x:v>学生</x:v>
      </x:c>
      <x:c r="G7" s="148" t="str">
        <x:v>不到一百元的宿舍果汁杯</x:v>
      </x:c>
      <x:c r="H7" s="148" t="str">
        <x:v>不到一百元，就能在宿舍随时打果汁。杯体轻，充一次电可以用多次，清洗时加水启动即可。现在领券再下单。</x:v>
      </x:c>
      <x:c r="I7" s="148" t="str">
        <x:v>不到一百元，就能在宿舍随时打果汁</x:v>
      </x:c>
      <x:c r="J7" s="142" t="n">
        <x:v>16</x:v>
      </x:c>
      <x:c r="K7" s="122" t="str">
        <x:v>是</x:v>
      </x:c>
      <x:c r="L7" s="122" t="str">
        <x:v>是</x:v>
      </x:c>
      <x:c r="M7" s="122" t="str">
        <x:v>是</x:v>
      </x:c>
      <x:c r="N7" s="122" t="str">
        <x:v>否</x:v>
      </x:c>
      <x:c r="O7" s="130" t="n">
        <x:v>15800</x:v>
      </x:c>
      <x:c r="P7" s="130" t="n">
        <x:v>820</x:v>
      </x:c>
      <x:c r="Q7" s="130" t="n">
        <x:v>75</x:v>
      </x:c>
      <x:c r="R7" s="130" t="n">
        <x:v>460</x:v>
      </x:c>
      <x:c r="S7" s="130" t="n">
        <x:v>140</x:v>
      </x:c>
      <x:c r="T7" s="133" t="n">
        <x:v>0.36</x:v>
      </x:c>
      <x:c r="U7" s="145" t="n">
        <x:v>8.5</x:v>
      </x:c>
      <x:c r="V7" s="133" t="n">
        <x:v>0.72</x:v>
      </x:c>
      <x:c r="W7" s="130" t="n">
        <x:v>1185</x:v>
      </x:c>
      <x:c r="X7" s="130" t="n">
        <x:v>90</x:v>
      </x:c>
      <x:c r="Y7" s="148" t="str">
        <x:v>价格利益前置</x:v>
      </x:c>
      <x:c r="Z7" s="148" t="str"/>
      <x:c r="AA7" s="136" t="n">
        <x:f>IF(O7&gt;0,(P7+Q7+R7+S7)/O7,"")</x:f>
        <x:v>0.09462025316455697</x:v>
      </x:c>
      <x:c r="AB7" s="136" t="n">
        <x:f>IF(O7&gt;0,W7/O7,"")</x:f>
        <x:v>0.075</x:v>
      </x:c>
      <x:c r="AC7" s="136" t="n">
        <x:f>IF(W7&gt;0,X7/W7,"")</x:f>
        <x:v>0.0759493670886076</x:v>
      </x:c>
      <x:c r="AD7" s="123" t="str">
        <x:f>IF(J7="","",IF(J7&lt;=10,"≤10秒",IF(J7&lt;=20,"11—20秒",IF(J7&lt;=30,"21—30秒","&gt;30秒"))))</x:f>
        <x:v>11—20秒</x:v>
      </x:c>
      <x:c r="AE7" s="139" t="n">
        <x:f>(IF(A7&lt;&gt;"",1,0)+IF(D7&lt;&gt;"",1,0)+IF(O7&gt;0,1,0)+IF(OR(G7&lt;&gt;"",H7&lt;&gt;"",I7&lt;&gt;""),1,0)+IF(OR(T7&lt;&gt;"",U7&lt;&gt;"",V7&lt;&gt;""),1,0))/5</x:f>
        <x:v>1</x:v>
      </x:c>
      <x:c r="AF7" s="123" t="str">
        <x:f>IF(AE7=1,"可分析","需检查")</x:f>
        <x:v>可分析</x:v>
      </x:c>
    </x:row>
    <x:row r="8" ht="44" customHeight="1">
      <x:c r="A8" s="122" t="str">
        <x:v>V004</x:v>
      </x:c>
      <x:c r="B8" s="127" t="n">
        <x:v>46202</x:v>
      </x:c>
      <x:c r="C8" s="122" t="str">
        <x:v>轻盈Go便携榨汁杯</x:v>
      </x:c>
      <x:c r="D8" s="122" t="str">
        <x:v>小家电/便携榨汁杯</x:v>
      </x:c>
      <x:c r="E8" s="122" t="str">
        <x:v>50-99元</x:v>
      </x:c>
      <x:c r="F8" s="122" t="str">
        <x:v>宝妈</x:v>
      </x:c>
      <x:c r="G8" s="148" t="str">
        <x:v>香蕉牛奶从整块到顺滑</x:v>
      </x:c>
      <x:c r="H8" s="148" t="str">
        <x:v>看，整块香蕉和牛奶14秒变成顺滑奶昔。刀头可拆洗，杯盖锁紧后放进包里也方便。喜欢这款口感可以点商品页。</x:v>
      </x:c>
      <x:c r="I8" s="148" t="str">
        <x:v>整块香蕉和牛奶14秒变成顺滑奶昔</x:v>
      </x:c>
      <x:c r="J8" s="142" t="n">
        <x:v>14</x:v>
      </x:c>
      <x:c r="K8" s="122" t="str">
        <x:v>是</x:v>
      </x:c>
      <x:c r="L8" s="122" t="str">
        <x:v>是</x:v>
      </x:c>
      <x:c r="M8" s="122" t="str">
        <x:v>是</x:v>
      </x:c>
      <x:c r="N8" s="122" t="str">
        <x:v>是</x:v>
      </x:c>
      <x:c r="O8" s="130" t="n">
        <x:v>22100</x:v>
      </x:c>
      <x:c r="P8" s="130" t="n">
        <x:v>1210</x:v>
      </x:c>
      <x:c r="Q8" s="130" t="n">
        <x:v>105</x:v>
      </x:c>
      <x:c r="R8" s="130" t="n">
        <x:v>680</x:v>
      </x:c>
      <x:c r="S8" s="130" t="n">
        <x:v>220</x:v>
      </x:c>
      <x:c r="T8" s="133" t="n">
        <x:v>0.45</x:v>
      </x:c>
      <x:c r="U8" s="145" t="n">
        <x:v>8.4</x:v>
      </x:c>
      <x:c r="V8" s="133" t="n">
        <x:v>0.81</x:v>
      </x:c>
      <x:c r="W8" s="130" t="n">
        <x:v>1437</x:v>
      </x:c>
      <x:c r="X8" s="130" t="n">
        <x:v>120</x:v>
      </x:c>
      <x:c r="Y8" s="148" t="str">
        <x:v>前后对比明显</x:v>
      </x:c>
      <x:c r="Z8" s="148" t="str"/>
      <x:c r="AA8" s="136" t="n">
        <x:f>IF(O8&gt;0,(P8+Q8+R8+S8)/O8,"")</x:f>
        <x:v>0.10022624434389141</x:v>
      </x:c>
      <x:c r="AB8" s="136" t="n">
        <x:f>IF(O8&gt;0,W8/O8,"")</x:f>
        <x:v>0.06502262443438914</x:v>
      </x:c>
      <x:c r="AC8" s="136" t="n">
        <x:f>IF(W8&gt;0,X8/W8,"")</x:f>
        <x:v>0.08350730688935282</x:v>
      </x:c>
      <x:c r="AD8" s="123" t="str">
        <x:f>IF(J8="","",IF(J8&lt;=10,"≤10秒",IF(J8&lt;=20,"11—20秒",IF(J8&lt;=30,"21—30秒","&gt;30秒"))))</x:f>
        <x:v>11—20秒</x:v>
      </x:c>
      <x:c r="AE8" s="139" t="n">
        <x:f>(IF(A8&lt;&gt;"",1,0)+IF(D8&lt;&gt;"",1,0)+IF(O8&gt;0,1,0)+IF(OR(G8&lt;&gt;"",H8&lt;&gt;"",I8&lt;&gt;""),1,0)+IF(OR(T8&lt;&gt;"",U8&lt;&gt;"",V8&lt;&gt;""),1,0))/5</x:f>
        <x:v>1</x:v>
      </x:c>
      <x:c r="AF8" s="123" t="str">
        <x:f>IF(AE8=1,"可分析","需检查")</x:f>
        <x:v>可分析</x:v>
      </x:c>
    </x:row>
    <x:row r="9" ht="44" customHeight="1">
      <x:c r="A9" s="122" t="str">
        <x:v>V005</x:v>
      </x:c>
      <x:c r="B9" s="127" t="n">
        <x:v>46205</x:v>
      </x:c>
      <x:c r="C9" s="122" t="str">
        <x:v>轻盈Go便携榨汁杯</x:v>
      </x:c>
      <x:c r="D9" s="122" t="str">
        <x:v>小家电/便携榨汁杯</x:v>
      </x:c>
      <x:c r="E9" s="122" t="str">
        <x:v>50-99元</x:v>
      </x:c>
      <x:c r="F9" s="122" t="str">
        <x:v>通用</x:v>
      </x:c>
      <x:c r="G9" s="148" t="str">
        <x:v>六叶刀头和300ml容量介绍</x:v>
      </x:c>
      <x:c r="H9" s="148" t="str">
        <x:v>这款榨汁杯采用六叶刀头，容量300毫升，额定功率70瓦，杯身材质轻便。接下来展示按键和充电口，感兴趣可点击查看。</x:v>
      </x:c>
      <x:c r="I9" s="148" t="str">
        <x:v>这款榨汁杯采用六叶刀头，容量300毫升</x:v>
      </x:c>
      <x:c r="J9" s="142" t="n">
        <x:v>26</x:v>
      </x:c>
      <x:c r="K9" s="122" t="str">
        <x:v>否</x:v>
      </x:c>
      <x:c r="L9" s="122" t="str">
        <x:v>否</x:v>
      </x:c>
      <x:c r="M9" s="122" t="str">
        <x:v>是</x:v>
      </x:c>
      <x:c r="N9" s="122" t="str">
        <x:v>否</x:v>
      </x:c>
      <x:c r="O9" s="130" t="n">
        <x:v>7200</x:v>
      </x:c>
      <x:c r="P9" s="130" t="n">
        <x:v>230</x:v>
      </x:c>
      <x:c r="Q9" s="130" t="n">
        <x:v>18</x:v>
      </x:c>
      <x:c r="R9" s="130" t="n">
        <x:v>80</x:v>
      </x:c>
      <x:c r="S9" s="130" t="n">
        <x:v>20</x:v>
      </x:c>
      <x:c r="T9" s="133" t="n">
        <x:v>0.22</x:v>
      </x:c>
      <x:c r="U9" s="145" t="n">
        <x:v>7.5</x:v>
      </x:c>
      <x:c r="V9" s="133" t="n">
        <x:v>0.48</x:v>
      </x:c>
      <x:c r="W9" s="130" t="n">
        <x:v>158</x:v>
      </x:c>
      <x:c r="X9" s="130" t="n">
        <x:v>10</x:v>
      </x:c>
      <x:c r="Y9" s="148" t="str">
        <x:v>参数较多；节奏慢</x:v>
      </x:c>
      <x:c r="Z9" s="148" t="str"/>
      <x:c r="AA9" s="136" t="n">
        <x:f>IF(O9&gt;0,(P9+Q9+R9+S9)/O9,"")</x:f>
        <x:v>0.04833333333333333</x:v>
      </x:c>
      <x:c r="AB9" s="136" t="n">
        <x:f>IF(O9&gt;0,W9/O9,"")</x:f>
        <x:v>0.021944444444444444</x:v>
      </x:c>
      <x:c r="AC9" s="136" t="n">
        <x:f>IF(W9&gt;0,X9/W9,"")</x:f>
        <x:v>0.06329113924050633</x:v>
      </x:c>
      <x:c r="AD9" s="123" t="str">
        <x:f>IF(J9="","",IF(J9&lt;=10,"≤10秒",IF(J9&lt;=20,"11—20秒",IF(J9&lt;=30,"21—30秒","&gt;30秒"))))</x:f>
        <x:v>21—30秒</x:v>
      </x:c>
      <x:c r="AE9" s="139" t="n">
        <x:f>(IF(A9&lt;&gt;"",1,0)+IF(D9&lt;&gt;"",1,0)+IF(O9&gt;0,1,0)+IF(OR(G9&lt;&gt;"",H9&lt;&gt;"",I9&lt;&gt;""),1,0)+IF(OR(T9&lt;&gt;"",U9&lt;&gt;"",V9&lt;&gt;""),1,0))/5</x:f>
        <x:v>1</x:v>
      </x:c>
      <x:c r="AF9" s="123" t="str">
        <x:f>IF(AE9=1,"可分析","需检查")</x:f>
        <x:v>可分析</x:v>
      </x:c>
    </x:row>
    <x:row r="10" ht="44" customHeight="1">
      <x:c r="A10" s="122" t="str">
        <x:v>V006</x:v>
      </x:c>
      <x:c r="B10" s="127" t="n">
        <x:v>46208</x:v>
      </x:c>
      <x:c r="C10" s="122" t="str">
        <x:v>轻盈Go便携榨汁杯</x:v>
      </x:c>
      <x:c r="D10" s="122" t="str">
        <x:v>小家电/便携榨汁杯</x:v>
      </x:c>
      <x:c r="E10" s="122" t="str">
        <x:v>50-99元</x:v>
      </x:c>
      <x:c r="F10" s="122" t="str">
        <x:v>上班族</x:v>
      </x:c>
      <x:c r="G10" s="148" t="str">
        <x:v>办公室想喝果汁但不想排队</x:v>
      </x:c>
      <x:c r="H10" s="148" t="str">
        <x:v>办公室想喝果汁又不想排队？把水果放进杯里，午休时18秒就能打好。冲水再启动一次就能完成基础清洗。点击商品查看颜色。</x:v>
      </x:c>
      <x:c r="I10" s="148" t="str">
        <x:v>办公室想喝果汁又不想排队？</x:v>
      </x:c>
      <x:c r="J10" s="142" t="n">
        <x:v>19</x:v>
      </x:c>
      <x:c r="K10" s="122" t="str">
        <x:v>是</x:v>
      </x:c>
      <x:c r="L10" s="122" t="str">
        <x:v>是</x:v>
      </x:c>
      <x:c r="M10" s="122" t="str">
        <x:v>是</x:v>
      </x:c>
      <x:c r="N10" s="122" t="str">
        <x:v>否</x:v>
      </x:c>
      <x:c r="O10" s="130" t="n">
        <x:v>9800</x:v>
      </x:c>
      <x:c r="P10" s="130" t="n">
        <x:v>410</x:v>
      </x:c>
      <x:c r="Q10" s="130" t="n">
        <x:v>38</x:v>
      </x:c>
      <x:c r="R10" s="130" t="n">
        <x:v>190</x:v>
      </x:c>
      <x:c r="S10" s="130" t="n">
        <x:v>65</x:v>
      </x:c>
      <x:c r="T10" s="133" t="n">
        <x:v>0.31</x:v>
      </x:c>
      <x:c r="U10" s="145" t="n">
        <x:v>9.4</x:v>
      </x:c>
      <x:c r="V10" s="133" t="n">
        <x:v>0.66</x:v>
      </x:c>
      <x:c r="W10" s="130" t="n">
        <x:v>392</x:v>
      </x:c>
      <x:c r="X10" s="130" t="n">
        <x:v>28</x:v>
      </x:c>
      <x:c r="Y10" s="148" t="str">
        <x:v>痛点+场景</x:v>
      </x:c>
      <x:c r="Z10" s="148" t="str"/>
      <x:c r="AA10" s="136" t="n">
        <x:f>IF(O10&gt;0,(P10+Q10+R10+S10)/O10,"")</x:f>
        <x:v>0.07173469387755102</x:v>
      </x:c>
      <x:c r="AB10" s="136" t="n">
        <x:f>IF(O10&gt;0,W10/O10,"")</x:f>
        <x:v>0.04</x:v>
      </x:c>
      <x:c r="AC10" s="136" t="n">
        <x:f>IF(W10&gt;0,X10/W10,"")</x:f>
        <x:v>0.07142857142857142</x:v>
      </x:c>
      <x:c r="AD10" s="123" t="str">
        <x:f>IF(J10="","",IF(J10&lt;=10,"≤10秒",IF(J10&lt;=20,"11—20秒",IF(J10&lt;=30,"21—30秒","&gt;30秒"))))</x:f>
        <x:v>11—20秒</x:v>
      </x:c>
      <x:c r="AE10" s="139" t="n">
        <x:f>(IF(A10&lt;&gt;"",1,0)+IF(D10&lt;&gt;"",1,0)+IF(O10&gt;0,1,0)+IF(OR(G10&lt;&gt;"",H10&lt;&gt;"",I10&lt;&gt;""),1,0)+IF(OR(T10&lt;&gt;"",U10&lt;&gt;"",V10&lt;&gt;""),1,0))/5</x:f>
        <x:v>1</x:v>
      </x:c>
      <x:c r="AF10" s="123" t="str">
        <x:f>IF(AE10=1,"可分析","需检查")</x:f>
        <x:v>可分析</x:v>
      </x:c>
    </x:row>
    <x:row r="11" ht="44" customHeight="1">
      <x:c r="A11" s="122" t="str">
        <x:v>V007</x:v>
      </x:c>
      <x:c r="B11" s="127" t="n">
        <x:v>46211</x:v>
      </x:c>
      <x:c r="C11" s="122" t="str">
        <x:v>轻盈Go便携榨汁杯</x:v>
      </x:c>
      <x:c r="D11" s="122" t="str">
        <x:v>小家电/便携榨汁杯</x:v>
      </x:c>
      <x:c r="E11" s="122" t="str">
        <x:v>50-99元</x:v>
      </x:c>
      <x:c r="F11" s="122" t="str">
        <x:v>健身人群</x:v>
      </x:c>
      <x:c r="G11" s="148" t="str">
        <x:v>健身后的蛋白奶昔这样做</x:v>
      </x:c>
      <x:c r="H11" s="148" t="str">
        <x:v>17秒，一杯没有明显结块的蛋白奶昔完成。先加液体再加粉，双击启动，喝完后杯子直接带走。今天有满减券。</x:v>
      </x:c>
      <x:c r="I11" s="148" t="str">
        <x:v>17秒，一杯没有明显结块的蛋白奶昔完成</x:v>
      </x:c>
      <x:c r="J11" s="142" t="n">
        <x:v>17</x:v>
      </x:c>
      <x:c r="K11" s="122" t="str">
        <x:v>是</x:v>
      </x:c>
      <x:c r="L11" s="122" t="str">
        <x:v>是</x:v>
      </x:c>
      <x:c r="M11" s="122" t="str">
        <x:v>是</x:v>
      </x:c>
      <x:c r="N11" s="122" t="str">
        <x:v>否</x:v>
      </x:c>
      <x:c r="O11" s="130" t="n">
        <x:v>19500</x:v>
      </x:c>
      <x:c r="P11" s="130" t="n">
        <x:v>1070</x:v>
      </x:c>
      <x:c r="Q11" s="130" t="n">
        <x:v>96</x:v>
      </x:c>
      <x:c r="R11" s="130" t="n">
        <x:v>590</x:v>
      </x:c>
      <x:c r="S11" s="130" t="n">
        <x:v>190</x:v>
      </x:c>
      <x:c r="T11" s="133" t="n">
        <x:v>0.41</x:v>
      </x:c>
      <x:c r="U11" s="145" t="n">
        <x:v>9.7</x:v>
      </x:c>
      <x:c r="V11" s="133" t="n">
        <x:v>0.77</x:v>
      </x:c>
      <x:c r="W11" s="130" t="n">
        <x:v>1131</x:v>
      </x:c>
      <x:c r="X11" s="130" t="n">
        <x:v>89</x:v>
      </x:c>
      <x:c r="Y11" s="148" t="str">
        <x:v>效果证明清晰</x:v>
      </x:c>
      <x:c r="Z11" s="148" t="str"/>
      <x:c r="AA11" s="136" t="n">
        <x:f>IF(O11&gt;0,(P11+Q11+R11+S11)/O11,"")</x:f>
        <x:v>0.0997948717948718</x:v>
      </x:c>
      <x:c r="AB11" s="136" t="n">
        <x:f>IF(O11&gt;0,W11/O11,"")</x:f>
        <x:v>0.058</x:v>
      </x:c>
      <x:c r="AC11" s="136" t="n">
        <x:f>IF(W11&gt;0,X11/W11,"")</x:f>
        <x:v>0.07869142351900972</x:v>
      </x:c>
      <x:c r="AD11" s="123" t="str">
        <x:f>IF(J11="","",IF(J11&lt;=10,"≤10秒",IF(J11&lt;=20,"11—20秒",IF(J11&lt;=30,"21—30秒","&gt;30秒"))))</x:f>
        <x:v>11—20秒</x:v>
      </x:c>
      <x:c r="AE11" s="139" t="n">
        <x:f>(IF(A11&lt;&gt;"",1,0)+IF(D11&lt;&gt;"",1,0)+IF(O11&gt;0,1,0)+IF(OR(G11&lt;&gt;"",H11&lt;&gt;"",I11&lt;&gt;""),1,0)+IF(OR(T11&lt;&gt;"",U11&lt;&gt;"",V11&lt;&gt;""),1,0))/5</x:f>
        <x:v>1</x:v>
      </x:c>
      <x:c r="AF11" s="123" t="str">
        <x:f>IF(AE11=1,"可分析","需检查")</x:f>
        <x:v>可分析</x:v>
      </x:c>
    </x:row>
    <x:row r="12" ht="44" customHeight="1">
      <x:c r="A12" s="122" t="str">
        <x:v>V008</x:v>
      </x:c>
      <x:c r="B12" s="127" t="n">
        <x:v>46214</x:v>
      </x:c>
      <x:c r="C12" s="122" t="str">
        <x:v>轻盈Go便携榨汁杯</x:v>
      </x:c>
      <x:c r="D12" s="122" t="str">
        <x:v>小家电/便携榨汁杯</x:v>
      </x:c>
      <x:c r="E12" s="122" t="str">
        <x:v>50-99元</x:v>
      </x:c>
      <x:c r="F12" s="122" t="str">
        <x:v>学生</x:v>
      </x:c>
      <x:c r="G12" s="148" t="str">
        <x:v>猜猜这一杯成本多少钱</x:v>
      </x:c>
      <x:c r="H12" s="148" t="str">
        <x:v>猜猜这杯芒果酸奶在宿舍做要多少钱？放入芒果和酸奶，18秒完成，平均一杯不到店里价格的一半。想看配方可以留言。</x:v>
      </x:c>
      <x:c r="I12" s="148" t="str">
        <x:v>猜猜这杯芒果酸奶在宿舍做要多少钱？</x:v>
      </x:c>
      <x:c r="J12" s="142" t="n">
        <x:v>18</x:v>
      </x:c>
      <x:c r="K12" s="122" t="str">
        <x:v>是</x:v>
      </x:c>
      <x:c r="L12" s="122" t="str">
        <x:v>是</x:v>
      </x:c>
      <x:c r="M12" s="122" t="str">
        <x:v>是</x:v>
      </x:c>
      <x:c r="N12" s="122" t="str">
        <x:v>否</x:v>
      </x:c>
      <x:c r="O12" s="130" t="n">
        <x:v>11200</x:v>
      </x:c>
      <x:c r="P12" s="130" t="n">
        <x:v>470</x:v>
      </x:c>
      <x:c r="Q12" s="130" t="n">
        <x:v>45</x:v>
      </x:c>
      <x:c r="R12" s="130" t="n">
        <x:v>230</x:v>
      </x:c>
      <x:c r="S12" s="130" t="n">
        <x:v>75</x:v>
      </x:c>
      <x:c r="T12" s="133" t="n">
        <x:v>0.32</x:v>
      </x:c>
      <x:c r="U12" s="145" t="n">
        <x:v>9</x:v>
      </x:c>
      <x:c r="V12" s="133" t="n">
        <x:v>0.69</x:v>
      </x:c>
      <x:c r="W12" s="130" t="n">
        <x:v>414</x:v>
      </x:c>
      <x:c r="X12" s="130" t="n">
        <x:v>27</x:v>
      </x:c>
      <x:c r="Y12" s="148" t="str">
        <x:v>悬念提问；评论CTA</x:v>
      </x:c>
      <x:c r="Z12" s="148" t="str"/>
      <x:c r="AA12" s="136" t="n">
        <x:f>IF(O12&gt;0,(P12+Q12+R12+S12)/O12,"")</x:f>
        <x:v>0.07321428571428572</x:v>
      </x:c>
      <x:c r="AB12" s="136" t="n">
        <x:f>IF(O12&gt;0,W12/O12,"")</x:f>
        <x:v>0.03696428571428571</x:v>
      </x:c>
      <x:c r="AC12" s="136" t="n">
        <x:f>IF(W12&gt;0,X12/W12,"")</x:f>
        <x:v>0.06521739130434782</x:v>
      </x:c>
      <x:c r="AD12" s="123" t="str">
        <x:f>IF(J12="","",IF(J12&lt;=10,"≤10秒",IF(J12&lt;=20,"11—20秒",IF(J12&lt;=30,"21—30秒","&gt;30秒"))))</x:f>
        <x:v>11—20秒</x:v>
      </x:c>
      <x:c r="AE12" s="139" t="n">
        <x:f>(IF(A12&lt;&gt;"",1,0)+IF(D12&lt;&gt;"",1,0)+IF(O12&gt;0,1,0)+IF(OR(G12&lt;&gt;"",H12&lt;&gt;"",I12&lt;&gt;""),1,0)+IF(OR(T12&lt;&gt;"",U12&lt;&gt;"",V12&lt;&gt;""),1,0))/5</x:f>
        <x:v>1</x:v>
      </x:c>
      <x:c r="AF12" s="123" t="str">
        <x:f>IF(AE12=1,"可分析","需检查")</x:f>
        <x:v>可分析</x:v>
      </x:c>
    </x:row>
    <x:row r="13" ht="44" customHeight="1">
      <x:c r="A13" s="122" t="str">
        <x:v>V009</x:v>
      </x:c>
      <x:c r="B13" s="127" t="n">
        <x:v>46217</x:v>
      </x:c>
      <x:c r="C13" s="122" t="str">
        <x:v>轻盈Go便携榨汁杯</x:v>
      </x:c>
      <x:c r="D13" s="122" t="str">
        <x:v>小家电/便携榨汁杯</x:v>
      </x:c>
      <x:c r="E13" s="122" t="str">
        <x:v>50-99元</x:v>
      </x:c>
      <x:c r="F13" s="122" t="str">
        <x:v>上班族</x:v>
      </x:c>
      <x:c r="G13" s="148" t="str">
        <x:v>经常加班的人可以试试</x:v>
      </x:c>
      <x:c r="H13" s="148" t="str">
        <x:v>经常加班、晚饭不规律的人，可以提前准备水果。回到工位加水双击启动，20秒完成一杯果饮。关注我看更多办公室食谱。</x:v>
      </x:c>
      <x:c r="I13" s="148" t="str">
        <x:v>经常加班、晚饭不规律的人，可以提前准备水果</x:v>
      </x:c>
      <x:c r="J13" s="142" t="n">
        <x:v>20</x:v>
      </x:c>
      <x:c r="K13" s="122" t="str">
        <x:v>是</x:v>
      </x:c>
      <x:c r="L13" s="122" t="str">
        <x:v>是</x:v>
      </x:c>
      <x:c r="M13" s="122" t="str">
        <x:v>否</x:v>
      </x:c>
      <x:c r="N13" s="122" t="str">
        <x:v>否</x:v>
      </x:c>
      <x:c r="O13" s="130" t="n">
        <x:v>10400</x:v>
      </x:c>
      <x:c r="P13" s="130" t="n">
        <x:v>450</x:v>
      </x:c>
      <x:c r="Q13" s="130" t="n">
        <x:v>51</x:v>
      </x:c>
      <x:c r="R13" s="130" t="n">
        <x:v>210</x:v>
      </x:c>
      <x:c r="S13" s="130" t="n">
        <x:v>58</x:v>
      </x:c>
      <x:c r="T13" s="133" t="n">
        <x:v>0.3</x:v>
      </x:c>
      <x:c r="U13" s="145" t="n">
        <x:v>9.6</x:v>
      </x:c>
      <x:c r="V13" s="133" t="n">
        <x:v>0.65</x:v>
      </x:c>
      <x:c r="W13" s="130" t="n">
        <x:v>385</x:v>
      </x:c>
      <x:c r="X13" s="130" t="n">
        <x:v>28</x:v>
      </x:c>
      <x:c r="Y13" s="148" t="str">
        <x:v>人群点名；关注CTA</x:v>
      </x:c>
      <x:c r="Z13" s="148" t="str"/>
      <x:c r="AA13" s="136" t="n">
        <x:f>IF(O13&gt;0,(P13+Q13+R13+S13)/O13,"")</x:f>
        <x:v>0.0739423076923077</x:v>
      </x:c>
      <x:c r="AB13" s="136" t="n">
        <x:f>IF(O13&gt;0,W13/O13,"")</x:f>
        <x:v>0.03701923076923077</x:v>
      </x:c>
      <x:c r="AC13" s="136" t="n">
        <x:f>IF(W13&gt;0,X13/W13,"")</x:f>
        <x:v>0.07272727272727272</x:v>
      </x:c>
      <x:c r="AD13" s="123" t="str">
        <x:f>IF(J13="","",IF(J13&lt;=10,"≤10秒",IF(J13&lt;=20,"11—20秒",IF(J13&lt;=30,"21—30秒","&gt;30秒"))))</x:f>
        <x:v>11—20秒</x:v>
      </x:c>
      <x:c r="AE13" s="139" t="n">
        <x:f>(IF(A13&lt;&gt;"",1,0)+IF(D13&lt;&gt;"",1,0)+IF(O13&gt;0,1,0)+IF(OR(G13&lt;&gt;"",H13&lt;&gt;"",I13&lt;&gt;""),1,0)+IF(OR(T13&lt;&gt;"",U13&lt;&gt;"",V13&lt;&gt;""),1,0))/5</x:f>
        <x:v>1</x:v>
      </x:c>
      <x:c r="AF13" s="123" t="str">
        <x:f>IF(AE13=1,"可分析","需检查")</x:f>
        <x:v>可分析</x:v>
      </x:c>
    </x:row>
    <x:row r="14" ht="44" customHeight="1">
      <x:c r="A14" s="122" t="str">
        <x:v>V010</x:v>
      </x:c>
      <x:c r="B14" s="127" t="n">
        <x:v>46220</x:v>
      </x:c>
      <x:c r="C14" s="122" t="str">
        <x:v>轻盈Go便携榨汁杯</x:v>
      </x:c>
      <x:c r="D14" s="122" t="str">
        <x:v>小家电/便携榨汁杯</x:v>
      </x:c>
      <x:c r="E14" s="122" t="str">
        <x:v>50-99元</x:v>
      </x:c>
      <x:c r="F14" s="122" t="str">
        <x:v>学生</x:v>
      </x:c>
      <x:c r="G14" s="148" t="str">
        <x:v>一杯奶茶的钱换一只榨汁杯</x:v>
      </x:c>
      <x:c r="H14" s="148" t="str">
        <x:v>一杯奶茶的钱，就能把这只便携榨汁杯带回宿舍。果汁、奶昔都能做，杯体小巧不占桌面。新人券今天可用。</x:v>
      </x:c>
      <x:c r="I14" s="148" t="str">
        <x:v>一杯奶茶的钱，就能把这只便携榨汁杯带回宿舍</x:v>
      </x:c>
      <x:c r="J14" s="142" t="n">
        <x:v>15</x:v>
      </x:c>
      <x:c r="K14" s="122" t="str">
        <x:v>是</x:v>
      </x:c>
      <x:c r="L14" s="122" t="str">
        <x:v>是</x:v>
      </x:c>
      <x:c r="M14" s="122" t="str">
        <x:v>是</x:v>
      </x:c>
      <x:c r="N14" s="122" t="str">
        <x:v>否</x:v>
      </x:c>
      <x:c r="O14" s="130" t="n">
        <x:v>17300</x:v>
      </x:c>
      <x:c r="P14" s="130" t="n">
        <x:v>900</x:v>
      </x:c>
      <x:c r="Q14" s="130" t="n">
        <x:v>83</x:v>
      </x:c>
      <x:c r="R14" s="130" t="n">
        <x:v>510</x:v>
      </x:c>
      <x:c r="S14" s="130" t="n">
        <x:v>170</x:v>
      </x:c>
      <x:c r="T14" s="133" t="n">
        <x:v>0.35</x:v>
      </x:c>
      <x:c r="U14" s="145" t="n">
        <x:v>8.1</x:v>
      </x:c>
      <x:c r="V14" s="133" t="n">
        <x:v>0.74</x:v>
      </x:c>
      <x:c r="W14" s="130" t="n">
        <x:v>1280</x:v>
      </x:c>
      <x:c r="X14" s="130" t="n">
        <x:v>102</x:v>
      </x:c>
      <x:c r="Y14" s="148" t="str">
        <x:v>低价利益点突出</x:v>
      </x:c>
      <x:c r="Z14" s="148" t="str"/>
      <x:c r="AA14" s="136" t="n">
        <x:f>IF(O14&gt;0,(P14+Q14+R14+S14)/O14,"")</x:f>
        <x:v>0.0961271676300578</x:v>
      </x:c>
      <x:c r="AB14" s="136" t="n">
        <x:f>IF(O14&gt;0,W14/O14,"")</x:f>
        <x:v>0.07398843930635839</x:v>
      </x:c>
      <x:c r="AC14" s="136" t="n">
        <x:f>IF(W14&gt;0,X14/W14,"")</x:f>
        <x:v>0.0796875</x:v>
      </x:c>
      <x:c r="AD14" s="123" t="str">
        <x:f>IF(J14="","",IF(J14&lt;=10,"≤10秒",IF(J14&lt;=20,"11—20秒",IF(J14&lt;=30,"21—30秒","&gt;30秒"))))</x:f>
        <x:v>11—20秒</x:v>
      </x:c>
      <x:c r="AE14" s="139" t="n">
        <x:f>(IF(A14&lt;&gt;"",1,0)+IF(D14&lt;&gt;"",1,0)+IF(O14&gt;0,1,0)+IF(OR(G14&lt;&gt;"",H14&lt;&gt;"",I14&lt;&gt;""),1,0)+IF(OR(T14&lt;&gt;"",U14&lt;&gt;"",V14&lt;&gt;""),1,0))/5</x:f>
        <x:v>1</x:v>
      </x:c>
      <x:c r="AF14" s="123" t="str">
        <x:f>IF(AE14=1,"可分析","需检查")</x:f>
        <x:v>可分析</x:v>
      </x:c>
    </x:row>
    <x:row r="15" ht="44" customHeight="1">
      <x:c r="A15" s="122" t="str">
        <x:v>V011</x:v>
      </x:c>
      <x:c r="B15" s="127" t="n">
        <x:v>46223</x:v>
      </x:c>
      <x:c r="C15" s="122" t="str">
        <x:v>轻盈Go便携榨汁杯</x:v>
      </x:c>
      <x:c r="D15" s="122" t="str">
        <x:v>小家电/便携榨汁杯</x:v>
      </x:c>
      <x:c r="E15" s="122" t="str">
        <x:v>50-99元</x:v>
      </x:c>
      <x:c r="F15" s="122" t="str">
        <x:v>通用</x:v>
      </x:c>
      <x:c r="G15" s="148" t="str">
        <x:v>一键自清洗实测</x:v>
      </x:c>
      <x:c r="H15" s="148" t="str">
        <x:v>只加清水，启动13秒，杯壁上的果肉残留就被带下来。再冲洗一次即可，日常使用更省事。点击商品页查看清洗说明。</x:v>
      </x:c>
      <x:c r="I15" s="148" t="str">
        <x:v>只加清水，启动13秒，杯壁上的果肉残留就被带下来</x:v>
      </x:c>
      <x:c r="J15" s="142" t="n">
        <x:v>13</x:v>
      </x:c>
      <x:c r="K15" s="122" t="str">
        <x:v>是</x:v>
      </x:c>
      <x:c r="L15" s="122" t="str">
        <x:v>是</x:v>
      </x:c>
      <x:c r="M15" s="122" t="str">
        <x:v>是</x:v>
      </x:c>
      <x:c r="N15" s="122" t="str">
        <x:v>是</x:v>
      </x:c>
      <x:c r="O15" s="130" t="n">
        <x:v>24800</x:v>
      </x:c>
      <x:c r="P15" s="130" t="n">
        <x:v>1450</x:v>
      </x:c>
      <x:c r="Q15" s="130" t="n">
        <x:v>130</x:v>
      </x:c>
      <x:c r="R15" s="130" t="n">
        <x:v>780</x:v>
      </x:c>
      <x:c r="S15" s="130" t="n">
        <x:v>250</x:v>
      </x:c>
      <x:c r="T15" s="133" t="n">
        <x:v>0.44</x:v>
      </x:c>
      <x:c r="U15" s="145" t="n">
        <x:v>7.9</x:v>
      </x:c>
      <x:c r="V15" s="133" t="n">
        <x:v>0.83</x:v>
      </x:c>
      <x:c r="W15" s="130" t="n">
        <x:v>1538</x:v>
      </x:c>
      <x:c r="X15" s="130" t="n">
        <x:v>135</x:v>
      </x:c>
      <x:c r="Y15" s="148" t="str">
        <x:v>效果前置；清洗效果</x:v>
      </x:c>
      <x:c r="Z15" s="148" t="str"/>
      <x:c r="AA15" s="136" t="n">
        <x:f>IF(O15&gt;0,(P15+Q15+R15+S15)/O15,"")</x:f>
        <x:v>0.10524193548387097</x:v>
      </x:c>
      <x:c r="AB15" s="136" t="n">
        <x:f>IF(O15&gt;0,W15/O15,"")</x:f>
        <x:v>0.06201612903225807</x:v>
      </x:c>
      <x:c r="AC15" s="136" t="n">
        <x:f>IF(W15&gt;0,X15/W15,"")</x:f>
        <x:v>0.08777633289986995</x:v>
      </x:c>
      <x:c r="AD15" s="123" t="str">
        <x:f>IF(J15="","",IF(J15&lt;=10,"≤10秒",IF(J15&lt;=20,"11—20秒",IF(J15&lt;=30,"21—30秒","&gt;30秒"))))</x:f>
        <x:v>11—20秒</x:v>
      </x:c>
      <x:c r="AE15" s="139" t="n">
        <x:f>(IF(A15&lt;&gt;"",1,0)+IF(D15&lt;&gt;"",1,0)+IF(O15&gt;0,1,0)+IF(OR(G15&lt;&gt;"",H15&lt;&gt;"",I15&lt;&gt;""),1,0)+IF(OR(T15&lt;&gt;"",U15&lt;&gt;"",V15&lt;&gt;""),1,0))/5</x:f>
        <x:v>1</x:v>
      </x:c>
      <x:c r="AF15" s="123" t="str">
        <x:f>IF(AE15=1,"可分析","需检查")</x:f>
        <x:v>可分析</x:v>
      </x:c>
    </x:row>
    <x:row r="16" ht="44" customHeight="1">
      <x:c r="A16" s="122" t="str">
        <x:v>V012</x:v>
      </x:c>
      <x:c r="B16" s="127" t="n">
        <x:v>46225</x:v>
      </x:c>
      <x:c r="C16" s="122" t="str">
        <x:v>轻盈Go便携榨汁杯</x:v>
      </x:c>
      <x:c r="D16" s="122" t="str">
        <x:v>小家电/便携榨汁杯</x:v>
      </x:c>
      <x:c r="E16" s="122" t="str">
        <x:v>50-99元</x:v>
      </x:c>
      <x:c r="F16" s="122" t="str">
        <x:v>宝妈</x:v>
      </x:c>
      <x:c r="G16" s="148" t="str">
        <x:v>孩子不爱直接吃水果怎么办</x:v>
      </x:c>
      <x:c r="H16" s="148" t="str">
        <x:v>孩子不爱直接吃水果怎么办？把香蕉、草莓和牛奶放进去，17秒打成奶昔，口感更细。购买前请根据孩子年龄选择食材。点击查看杯体容量。</x:v>
      </x:c>
      <x:c r="I16" s="148" t="str">
        <x:v>孩子不爱直接吃水果怎么办？</x:v>
      </x:c>
      <x:c r="J16" s="142" t="n">
        <x:v>17</x:v>
      </x:c>
      <x:c r="K16" s="122" t="str">
        <x:v>是</x:v>
      </x:c>
      <x:c r="L16" s="122" t="str">
        <x:v>是</x:v>
      </x:c>
      <x:c r="M16" s="122" t="str">
        <x:v>是</x:v>
      </x:c>
      <x:c r="N16" s="122" t="str">
        <x:v>否</x:v>
      </x:c>
      <x:c r="O16" s="130" t="n">
        <x:v>13100</x:v>
      </x:c>
      <x:c r="P16" s="130" t="n">
        <x:v>610</x:v>
      </x:c>
      <x:c r="Q16" s="130" t="n">
        <x:v>57</x:v>
      </x:c>
      <x:c r="R16" s="130" t="n">
        <x:v>290</x:v>
      </x:c>
      <x:c r="S16" s="130" t="n">
        <x:v>90</x:v>
      </x:c>
      <x:c r="T16" s="133" t="n">
        <x:v>0.34</x:v>
      </x:c>
      <x:c r="U16" s="145" t="n">
        <x:v>9.1</x:v>
      </x:c>
      <x:c r="V16" s="133" t="n">
        <x:v>0.7</x:v>
      </x:c>
      <x:c r="W16" s="130" t="n">
        <x:v>616</x:v>
      </x:c>
      <x:c r="X16" s="130" t="n">
        <x:v>49</x:v>
      </x:c>
      <x:c r="Y16" s="148" t="str">
        <x:v>痛点前置；避免功效承诺</x:v>
      </x:c>
      <x:c r="Z16" s="148" t="str"/>
      <x:c r="AA16" s="136" t="n">
        <x:f>IF(O16&gt;0,(P16+Q16+R16+S16)/O16,"")</x:f>
        <x:v>0.0799236641221374</x:v>
      </x:c>
      <x:c r="AB16" s="136" t="n">
        <x:f>IF(O16&gt;0,W16/O16,"")</x:f>
        <x:v>0.04702290076335878</x:v>
      </x:c>
      <x:c r="AC16" s="136" t="n">
        <x:f>IF(W16&gt;0,X16/W16,"")</x:f>
        <x:v>0.07954545454545454</x:v>
      </x:c>
      <x:c r="AD16" s="123" t="str">
        <x:f>IF(J16="","",IF(J16&lt;=10,"≤10秒",IF(J16&lt;=20,"11—20秒",IF(J16&lt;=30,"21—30秒","&gt;30秒"))))</x:f>
        <x:v>11—20秒</x:v>
      </x:c>
      <x:c r="AE16" s="139" t="n">
        <x:f>(IF(A16&lt;&gt;"",1,0)+IF(D16&lt;&gt;"",1,0)+IF(O16&gt;0,1,0)+IF(OR(G16&lt;&gt;"",H16&lt;&gt;"",I16&lt;&gt;""),1,0)+IF(OR(T16&lt;&gt;"",U16&lt;&gt;"",V16&lt;&gt;""),1,0))/5</x:f>
        <x:v>1</x:v>
      </x:c>
      <x:c r="AF16" s="123" t="str">
        <x:f>IF(AE16=1,"可分析","需检查")</x:f>
        <x:v>可分析</x:v>
      </x:c>
    </x:row>
    <x:row r="17" ht="44" customHeight="1">
      <x:c r="A17" s="122" t="str">
        <x:v>V013</x:v>
      </x:c>
      <x:c r="B17" s="127" t="n">
        <x:v>46227</x:v>
      </x:c>
      <x:c r="C17" s="122" t="str">
        <x:v>轻盈Go便携榨汁杯</x:v>
      </x:c>
      <x:c r="D17" s="122" t="str">
        <x:v>小家电/便携榨汁杯</x:v>
      </x:c>
      <x:c r="E17" s="122" t="str">
        <x:v>50-99元</x:v>
      </x:c>
      <x:c r="F17" s="122" t="str">
        <x:v>通用</x:v>
      </x:c>
      <x:c r="G17" s="148" t="str">
        <x:v>电池容量和刀头结构详解</x:v>
      </x:c>
      <x:c r="H17" s="148" t="str">
        <x:v>先介绍电池容量、转速和六叶刀头结构，再展示杯盖、安全锁和充电接口。视频最后演示一次基础搅打。需要参数表可私信。</x:v>
      </x:c>
      <x:c r="I17" s="148" t="str">
        <x:v>先介绍电池容量、转速和六叶刀头结构</x:v>
      </x:c>
      <x:c r="J17" s="142" t="n">
        <x:v>32</x:v>
      </x:c>
      <x:c r="K17" s="122" t="str">
        <x:v>否</x:v>
      </x:c>
      <x:c r="L17" s="122" t="str">
        <x:v>否</x:v>
      </x:c>
      <x:c r="M17" s="122" t="str">
        <x:v>是</x:v>
      </x:c>
      <x:c r="N17" s="122" t="str">
        <x:v>否</x:v>
      </x:c>
      <x:c r="O17" s="130" t="n">
        <x:v>6800</x:v>
      </x:c>
      <x:c r="P17" s="130" t="n">
        <x:v>190</x:v>
      </x:c>
      <x:c r="Q17" s="130" t="n">
        <x:v>15</x:v>
      </x:c>
      <x:c r="R17" s="130" t="n">
        <x:v>64</x:v>
      </x:c>
      <x:c r="S17" s="130" t="n">
        <x:v>18</x:v>
      </x:c>
      <x:c r="T17" s="133" t="n">
        <x:v>0.2</x:v>
      </x:c>
      <x:c r="U17" s="145" t="n">
        <x:v>7.8</x:v>
      </x:c>
      <x:c r="V17" s="133" t="n">
        <x:v>0.42</x:v>
      </x:c>
      <x:c r="W17" s="130" t="n">
        <x:v>143</x:v>
      </x:c>
      <x:c r="X17" s="130" t="n">
        <x:v>9</x:v>
      </x:c>
      <x:c r="Y17" s="148" t="str">
        <x:v>参数前置；时长偏长</x:v>
      </x:c>
      <x:c r="Z17" s="148" t="str"/>
      <x:c r="AA17" s="136" t="n">
        <x:f>IF(O17&gt;0,(P17+Q17+R17+S17)/O17,"")</x:f>
        <x:v>0.042205882352941176</x:v>
      </x:c>
      <x:c r="AB17" s="136" t="n">
        <x:f>IF(O17&gt;0,W17/O17,"")</x:f>
        <x:v>0.021029411764705883</x:v>
      </x:c>
      <x:c r="AC17" s="136" t="n">
        <x:f>IF(W17&gt;0,X17/W17,"")</x:f>
        <x:v>0.06293706293706294</x:v>
      </x:c>
      <x:c r="AD17" s="123" t="str">
        <x:f>IF(J17="","",IF(J17&lt;=10,"≤10秒",IF(J17&lt;=20,"11—20秒",IF(J17&lt;=30,"21—30秒","&gt;30秒"))))</x:f>
        <x:v>&gt;30秒</x:v>
      </x:c>
      <x:c r="AE17" s="139" t="n">
        <x:f>(IF(A17&lt;&gt;"",1,0)+IF(D17&lt;&gt;"",1,0)+IF(O17&gt;0,1,0)+IF(OR(G17&lt;&gt;"",H17&lt;&gt;"",I17&lt;&gt;""),1,0)+IF(OR(T17&lt;&gt;"",U17&lt;&gt;"",V17&lt;&gt;""),1,0))/5</x:f>
        <x:v>1</x:v>
      </x:c>
      <x:c r="AF17" s="123" t="str">
        <x:f>IF(AE17=1,"可分析","需检查")</x:f>
        <x:v>可分析</x:v>
      </x:c>
    </x:row>
    <x:row r="18" ht="44" customHeight="1">
      <x:c r="A18" s="122" t="str">
        <x:v>V014</x:v>
      </x:c>
      <x:c r="B18" s="127" t="n">
        <x:v>46229</x:v>
      </x:c>
      <x:c r="C18" s="122" t="str">
        <x:v>轻盈Go便携榨汁杯</x:v>
      </x:c>
      <x:c r="D18" s="122" t="str">
        <x:v>小家电/便携榨汁杯</x:v>
      </x:c>
      <x:c r="E18" s="122" t="str">
        <x:v>50-99元</x:v>
      </x:c>
      <x:c r="F18" s="122" t="str">
        <x:v>上班族</x:v>
      </x:c>
      <x:c r="G18" s="148" t="str">
        <x:v>我的通勤早餐从手忙脚乱开始</x:v>
      </x:c>
      <x:c r="H18" s="148" t="str">
        <x:v>以前我每天早上都来不及吃早餐，后来会提前切好水果。出门前用便携杯打好，路上就能带着喝。最后展示清洗和收纳，点击查看同款。</x:v>
      </x:c>
      <x:c r="I18" s="148" t="str">
        <x:v>以前我每天早上都来不及吃早餐</x:v>
      </x:c>
      <x:c r="J18" s="142" t="n">
        <x:v>29</x:v>
      </x:c>
      <x:c r="K18" s="122" t="str">
        <x:v>是</x:v>
      </x:c>
      <x:c r="L18" s="122" t="str">
        <x:v>是</x:v>
      </x:c>
      <x:c r="M18" s="122" t="str">
        <x:v>是</x:v>
      </x:c>
      <x:c r="N18" s="122" t="str">
        <x:v>否</x:v>
      </x:c>
      <x:c r="O18" s="130" t="n">
        <x:v>8900</x:v>
      </x:c>
      <x:c r="P18" s="130" t="n">
        <x:v>340</x:v>
      </x:c>
      <x:c r="Q18" s="130" t="n">
        <x:v>36</x:v>
      </x:c>
      <x:c r="R18" s="130" t="n">
        <x:v>170</x:v>
      </x:c>
      <x:c r="S18" s="130" t="n">
        <x:v>55</x:v>
      </x:c>
      <x:c r="T18" s="133" t="n">
        <x:v>0.27</x:v>
      </x:c>
      <x:c r="U18" s="145" t="n">
        <x:v>9.3</x:v>
      </x:c>
      <x:c r="V18" s="133" t="n">
        <x:v>0.58</x:v>
      </x:c>
      <x:c r="W18" s="130" t="n">
        <x:v>276</x:v>
      </x:c>
      <x:c r="X18" s="130" t="n">
        <x:v>19</x:v>
      </x:c>
      <x:c r="Y18" s="148" t="str">
        <x:v>故事场景；时长较长</x:v>
      </x:c>
      <x:c r="Z18" s="148" t="str"/>
      <x:c r="AA18" s="136" t="n">
        <x:f>IF(O18&gt;0,(P18+Q18+R18+S18)/O18,"")</x:f>
        <x:v>0.06752808988764045</x:v>
      </x:c>
      <x:c r="AB18" s="136" t="n">
        <x:f>IF(O18&gt;0,W18/O18,"")</x:f>
        <x:v>0.031011235955056178</x:v>
      </x:c>
      <x:c r="AC18" s="136" t="n">
        <x:f>IF(W18&gt;0,X18/W18,"")</x:f>
        <x:v>0.06884057971014493</x:v>
      </x:c>
      <x:c r="AD18" s="123" t="str">
        <x:f>IF(J18="","",IF(J18&lt;=10,"≤10秒",IF(J18&lt;=20,"11—20秒",IF(J18&lt;=30,"21—30秒","&gt;30秒"))))</x:f>
        <x:v>21—30秒</x:v>
      </x:c>
      <x:c r="AE18" s="139" t="n">
        <x:f>(IF(A18&lt;&gt;"",1,0)+IF(D18&lt;&gt;"",1,0)+IF(O18&gt;0,1,0)+IF(OR(G18&lt;&gt;"",H18&lt;&gt;"",I18&lt;&gt;""),1,0)+IF(OR(T18&lt;&gt;"",U18&lt;&gt;"",V18&lt;&gt;""),1,0))/5</x:f>
        <x:v>1</x:v>
      </x:c>
      <x:c r="AF18" s="123" t="str">
        <x:f>IF(AE18=1,"可分析","需检查")</x:f>
        <x:v>可分析</x:v>
      </x:c>
    </x:row>
    <x:row r="19" ht="44" customHeight="1">
      <x:c r="A19" s="122" t="str">
        <x:v>V015</x:v>
      </x:c>
      <x:c r="B19" s="127" t="n">
        <x:v>46231</x:v>
      </x:c>
      <x:c r="C19" s="122" t="str">
        <x:v>轻盈Go便携榨汁杯</x:v>
      </x:c>
      <x:c r="D19" s="122" t="str">
        <x:v>小家电/便携榨汁杯</x:v>
      </x:c>
      <x:c r="E19" s="122" t="str">
        <x:v>50-99元</x:v>
      </x:c>
      <x:c r="F19" s="122" t="str">
        <x:v>健身人群</x:v>
      </x:c>
      <x:c r="G19" s="148" t="str">
        <x:v>为什么先加水再加粉</x:v>
      </x:c>
      <x:c r="H19" s="148" t="str">
        <x:v>为什么做蛋白奶昔要先加水再加粉？顺序换一下，搅打时更容易均匀。16秒展示两种顺序的差别，想看比例可以评论。</x:v>
      </x:c>
      <x:c r="I19" s="148" t="str">
        <x:v>为什么做蛋白奶昔要先加水再加粉？</x:v>
      </x:c>
      <x:c r="J19" s="142" t="n">
        <x:v>16</x:v>
      </x:c>
      <x:c r="K19" s="122" t="str">
        <x:v>是</x:v>
      </x:c>
      <x:c r="L19" s="122" t="str">
        <x:v>是</x:v>
      </x:c>
      <x:c r="M19" s="122" t="str">
        <x:v>是</x:v>
      </x:c>
      <x:c r="N19" s="122" t="str">
        <x:v>是</x:v>
      </x:c>
      <x:c r="O19" s="130" t="n">
        <x:v>12100</x:v>
      </x:c>
      <x:c r="P19" s="130" t="n">
        <x:v>520</x:v>
      </x:c>
      <x:c r="Q19" s="130" t="n">
        <x:v>49</x:v>
      </x:c>
      <x:c r="R19" s="130" t="n">
        <x:v>260</x:v>
      </x:c>
      <x:c r="S19" s="130" t="n">
        <x:v>82</x:v>
      </x:c>
      <x:c r="T19" s="133" t="n">
        <x:v>0.33</x:v>
      </x:c>
      <x:c r="U19" s="145" t="n">
        <x:v>8.7</x:v>
      </x:c>
      <x:c r="V19" s="133" t="n">
        <x:v>0.71</x:v>
      </x:c>
      <x:c r="W19" s="130" t="n">
        <x:v>460</x:v>
      </x:c>
      <x:c r="X19" s="130" t="n">
        <x:v>32</x:v>
      </x:c>
      <x:c r="Y19" s="148" t="str">
        <x:v>提问+对比</x:v>
      </x:c>
      <x:c r="Z19" s="148" t="str"/>
      <x:c r="AA19" s="136" t="n">
        <x:f>IF(O19&gt;0,(P19+Q19+R19+S19)/O19,"")</x:f>
        <x:v>0.0752892561983471</x:v>
      </x:c>
      <x:c r="AB19" s="136" t="n">
        <x:f>IF(O19&gt;0,W19/O19,"")</x:f>
        <x:v>0.03801652892561983</x:v>
      </x:c>
      <x:c r="AC19" s="136" t="n">
        <x:f>IF(W19&gt;0,X19/W19,"")</x:f>
        <x:v>0.06956521739130435</x:v>
      </x:c>
      <x:c r="AD19" s="123" t="str">
        <x:f>IF(J19="","",IF(J19&lt;=10,"≤10秒",IF(J19&lt;=20,"11—20秒",IF(J19&lt;=30,"21—30秒","&gt;30秒"))))</x:f>
        <x:v>11—20秒</x:v>
      </x:c>
      <x:c r="AE19" s="139" t="n">
        <x:f>(IF(A19&lt;&gt;"",1,0)+IF(D19&lt;&gt;"",1,0)+IF(O19&gt;0,1,0)+IF(OR(G19&lt;&gt;"",H19&lt;&gt;"",I19&lt;&gt;""),1,0)+IF(OR(T19&lt;&gt;"",U19&lt;&gt;"",V19&lt;&gt;""),1,0))/5</x:f>
        <x:v>1</x:v>
      </x:c>
      <x:c r="AF19" s="123" t="str">
        <x:f>IF(AE19=1,"可分析","需检查")</x:f>
        <x:v>可分析</x:v>
      </x:c>
    </x:row>
    <x:row r="20" ht="44" customHeight="1">
      <x:c r="A20" s="122" t="str">
        <x:v>V016</x:v>
      </x:c>
      <x:c r="B20" s="127" t="n">
        <x:v>46233</x:v>
      </x:c>
      <x:c r="C20" s="122" t="str">
        <x:v>轻盈Go便携榨汁杯</x:v>
      </x:c>
      <x:c r="D20" s="122" t="str">
        <x:v>小家电/便携榨汁杯</x:v>
      </x:c>
      <x:c r="E20" s="122" t="str">
        <x:v>50-99元</x:v>
      </x:c>
      <x:c r="F20" s="122" t="str">
        <x:v>学生</x:v>
      </x:c>
      <x:c r="G20" s="148" t="str">
        <x:v>冰香蕉奶昔17秒完成</x:v>
      </x:c>
      <x:c r="H20" s="148" t="str">
        <x:v>冰香蕉加牛奶，18秒打到顺滑状态。镜头近距离展示搅打前后，再把杯子放进书包侧袋。领取学生新人券后再下单。</x:v>
      </x:c>
      <x:c r="I20" s="148" t="str">
        <x:v>冰香蕉加牛奶，18秒打到顺滑状态</x:v>
      </x:c>
      <x:c r="J20" s="142" t="n">
        <x:v>18</x:v>
      </x:c>
      <x:c r="K20" s="122" t="str">
        <x:v>是</x:v>
      </x:c>
      <x:c r="L20" s="122" t="str">
        <x:v>是</x:v>
      </x:c>
      <x:c r="M20" s="122" t="str">
        <x:v>是</x:v>
      </x:c>
      <x:c r="N20" s="122" t="str">
        <x:v>是</x:v>
      </x:c>
      <x:c r="O20" s="130" t="n">
        <x:v>20700</x:v>
      </x:c>
      <x:c r="P20" s="130" t="n">
        <x:v>1180</x:v>
      </x:c>
      <x:c r="Q20" s="130" t="n">
        <x:v>112</x:v>
      </x:c>
      <x:c r="R20" s="130" t="n">
        <x:v>640</x:v>
      </x:c>
      <x:c r="S20" s="130" t="n">
        <x:v>210</x:v>
      </x:c>
      <x:c r="T20" s="133" t="n">
        <x:v>0.42</x:v>
      </x:c>
      <x:c r="U20" s="145" t="n">
        <x:v>10.1</x:v>
      </x:c>
      <x:c r="V20" s="133" t="n">
        <x:v>0.79</x:v>
      </x:c>
      <x:c r="W20" s="130" t="n">
        <x:v>1242</x:v>
      </x:c>
      <x:c r="X20" s="130" t="n">
        <x:v>102</x:v>
      </x:c>
      <x:c r="Y20" s="148" t="str">
        <x:v>效果前置；优惠CTA</x:v>
      </x:c>
      <x:c r="Z20" s="148" t="str"/>
      <x:c r="AA20" s="136" t="n">
        <x:f>IF(O20&gt;0,(P20+Q20+R20+S20)/O20,"")</x:f>
        <x:v>0.10347826086956521</x:v>
      </x:c>
      <x:c r="AB20" s="136" t="n">
        <x:f>IF(O20&gt;0,W20/O20,"")</x:f>
        <x:v>0.06</x:v>
      </x:c>
      <x:c r="AC20" s="136" t="n">
        <x:f>IF(W20&gt;0,X20/W20,"")</x:f>
        <x:v>0.0821256038647343</x:v>
      </x:c>
      <x:c r="AD20" s="123" t="str">
        <x:f>IF(J20="","",IF(J20&lt;=10,"≤10秒",IF(J20&lt;=20,"11—20秒",IF(J20&lt;=30,"21—30秒","&gt;30秒"))))</x:f>
        <x:v>11—20秒</x:v>
      </x:c>
      <x:c r="AE20" s="139" t="n">
        <x:f>(IF(A20&lt;&gt;"",1,0)+IF(D20&lt;&gt;"",1,0)+IF(O20&gt;0,1,0)+IF(OR(G20&lt;&gt;"",H20&lt;&gt;"",I20&lt;&gt;""),1,0)+IF(OR(T20&lt;&gt;"",U20&lt;&gt;"",V20&lt;&gt;""),1,0))/5</x:f>
        <x:v>1</x:v>
      </x:c>
      <x:c r="AF20" s="123" t="str">
        <x:f>IF(AE20=1,"可分析","需检查")</x:f>
        <x:v>可分析</x:v>
      </x:c>
    </x:row>
    <x:row r="21" ht="44" customHeight="1">
      <x:c r="A21" s="122" t="str">
        <x:v>V017</x:v>
      </x:c>
      <x:c r="B21" s="127" t="n">
        <x:v>46235</x:v>
      </x:c>
      <x:c r="C21" s="122" t="str">
        <x:v>轻盈Go便携榨汁杯</x:v>
      </x:c>
      <x:c r="D21" s="122" t="str">
        <x:v>小家电/便携榨汁杯</x:v>
      </x:c>
      <x:c r="E21" s="122" t="str">
        <x:v>50-99元</x:v>
      </x:c>
      <x:c r="F21" s="122" t="str">
        <x:v>上班族</x:v>
      </x:c>
      <x:c r="G21" s="148" t="str">
        <x:v>限时券后79元的便携果汁杯</x:v>
      </x:c>
      <x:c r="H21" s="148" t="str">
        <x:v>限时券后79元，杯子、杯盖和充电线一起到手。现场做一杯苹果汁，展示容量和清洗步骤。优惠结束前可点击领取。</x:v>
      </x:c>
      <x:c r="I21" s="148" t="str">
        <x:v>限时券后79元</x:v>
      </x:c>
      <x:c r="J21" s="142" t="n">
        <x:v>19</x:v>
      </x:c>
      <x:c r="K21" s="122" t="str">
        <x:v>是</x:v>
      </x:c>
      <x:c r="L21" s="122" t="str">
        <x:v>是</x:v>
      </x:c>
      <x:c r="M21" s="122" t="str">
        <x:v>是</x:v>
      </x:c>
      <x:c r="N21" s="122" t="str">
        <x:v>否</x:v>
      </x:c>
      <x:c r="O21" s="130" t="n">
        <x:v>16500</x:v>
      </x:c>
      <x:c r="P21" s="130" t="n">
        <x:v>860</x:v>
      </x:c>
      <x:c r="Q21" s="130" t="n">
        <x:v>78</x:v>
      </x:c>
      <x:c r="R21" s="130" t="n">
        <x:v>480</x:v>
      </x:c>
      <x:c r="S21" s="130" t="n">
        <x:v>150</x:v>
      </x:c>
      <x:c r="T21" s="133" t="n">
        <x:v>0.34</x:v>
      </x:c>
      <x:c r="U21" s="145" t="n">
        <x:v>9.4</x:v>
      </x:c>
      <x:c r="V21" s="133" t="n">
        <x:v>0.73</x:v>
      </x:c>
      <x:c r="W21" s="130" t="n">
        <x:v>1205</x:v>
      </x:c>
      <x:c r="X21" s="130" t="n">
        <x:v>91</x:v>
      </x:c>
      <x:c r="Y21" s="148" t="str">
        <x:v>价格优惠前置</x:v>
      </x:c>
      <x:c r="Z21" s="148" t="str"/>
      <x:c r="AA21" s="136" t="n">
        <x:f>IF(O21&gt;0,(P21+Q21+R21+S21)/O21,"")</x:f>
        <x:v>0.09503030303030303</x:v>
      </x:c>
      <x:c r="AB21" s="136" t="n">
        <x:f>IF(O21&gt;0,W21/O21,"")</x:f>
        <x:v>0.07303030303030303</x:v>
      </x:c>
      <x:c r="AC21" s="136" t="n">
        <x:f>IF(W21&gt;0,X21/W21,"")</x:f>
        <x:v>0.07551867219917012</x:v>
      </x:c>
      <x:c r="AD21" s="123" t="str">
        <x:f>IF(J21="","",IF(J21&lt;=10,"≤10秒",IF(J21&lt;=20,"11—20秒",IF(J21&lt;=30,"21—30秒","&gt;30秒"))))</x:f>
        <x:v>11—20秒</x:v>
      </x:c>
      <x:c r="AE21" s="139" t="n">
        <x:f>(IF(A21&lt;&gt;"",1,0)+IF(D21&lt;&gt;"",1,0)+IF(O21&gt;0,1,0)+IF(OR(G21&lt;&gt;"",H21&lt;&gt;"",I21&lt;&gt;""),1,0)+IF(OR(T21&lt;&gt;"",U21&lt;&gt;"",V21&lt;&gt;""),1,0))/5</x:f>
        <x:v>1</x:v>
      </x:c>
      <x:c r="AF21" s="123" t="str">
        <x:f>IF(AE21=1,"可分析","需检查")</x:f>
        <x:v>可分析</x:v>
      </x:c>
    </x:row>
    <x:row r="22" ht="44" customHeight="1">
      <x:c r="A22" s="122" t="str">
        <x:v>V018</x:v>
      </x:c>
      <x:c r="B22" s="127" t="n">
        <x:v>46236</x:v>
      </x:c>
      <x:c r="C22" s="122" t="str">
        <x:v>轻盈Go便携榨汁杯</x:v>
      </x:c>
      <x:c r="D22" s="122" t="str">
        <x:v>小家电/便携榨汁杯</x:v>
      </x:c>
      <x:c r="E22" s="122" t="str">
        <x:v>50-99元</x:v>
      </x:c>
      <x:c r="F22" s="122" t="str">
        <x:v>学生</x:v>
      </x:c>
      <x:c r="G22" s="148" t="str">
        <x:v>宿舍空间太小放不下大机器</x:v>
      </x:c>
      <x:c r="H22" s="148" t="str">
        <x:v>宿舍桌面太小，放不下大料理机？这只杯子收纳占用空间少，22秒展示搅打、饮用和清洗全过程。点击商品页查看尺寸。</x:v>
      </x:c>
      <x:c r="I22" s="148" t="str">
        <x:v>宿舍桌面太小，放不下大料理机？</x:v>
      </x:c>
      <x:c r="J22" s="142" t="n">
        <x:v>22</x:v>
      </x:c>
      <x:c r="K22" s="122" t="str">
        <x:v>是</x:v>
      </x:c>
      <x:c r="L22" s="122" t="str">
        <x:v>是</x:v>
      </x:c>
      <x:c r="M22" s="122" t="str">
        <x:v>是</x:v>
      </x:c>
      <x:c r="N22" s="122" t="str">
        <x:v>否</x:v>
      </x:c>
      <x:c r="O22" s="130" t="n">
        <x:v>10900</x:v>
      </x:c>
      <x:c r="P22" s="130" t="n">
        <x:v>460</x:v>
      </x:c>
      <x:c r="Q22" s="130" t="n">
        <x:v>44</x:v>
      </x:c>
      <x:c r="R22" s="130" t="n">
        <x:v>230</x:v>
      </x:c>
      <x:c r="S22" s="130" t="n">
        <x:v>70</x:v>
      </x:c>
      <x:c r="T22" s="133" t="n">
        <x:v>0.3</x:v>
      </x:c>
      <x:c r="U22" s="145" t="n">
        <x:v>9.8</x:v>
      </x:c>
      <x:c r="V22" s="133" t="n">
        <x:v>0.62</x:v>
      </x:c>
      <x:c r="W22" s="130" t="n">
        <x:v>382</x:v>
      </x:c>
      <x:c r="X22" s="130" t="n">
        <x:v>26</x:v>
      </x:c>
      <x:c r="Y22" s="148" t="str">
        <x:v>痛点前置；略长</x:v>
      </x:c>
      <x:c r="Z22" s="148" t="str"/>
      <x:c r="AA22" s="136" t="n">
        <x:f>IF(O22&gt;0,(P22+Q22+R22+S22)/O22,"")</x:f>
        <x:v>0.07376146788990826</x:v>
      </x:c>
      <x:c r="AB22" s="136" t="n">
        <x:f>IF(O22&gt;0,W22/O22,"")</x:f>
        <x:v>0.03504587155963303</x:v>
      </x:c>
      <x:c r="AC22" s="136" t="n">
        <x:f>IF(W22&gt;0,X22/W22,"")</x:f>
        <x:v>0.06806282722513089</x:v>
      </x:c>
      <x:c r="AD22" s="123" t="str">
        <x:f>IF(J22="","",IF(J22&lt;=10,"≤10秒",IF(J22&lt;=20,"11—20秒",IF(J22&lt;=30,"21—30秒","&gt;30秒"))))</x:f>
        <x:v>21—30秒</x:v>
      </x:c>
      <x:c r="AE22" s="139" t="n">
        <x:f>(IF(A22&lt;&gt;"",1,0)+IF(D22&lt;&gt;"",1,0)+IF(O22&gt;0,1,0)+IF(OR(G22&lt;&gt;"",H22&lt;&gt;"",I22&lt;&gt;""),1,0)+IF(OR(T22&lt;&gt;"",U22&lt;&gt;"",V22&lt;&gt;""),1,0))/5</x:f>
        <x:v>1</x:v>
      </x:c>
      <x:c r="AF22" s="123" t="str">
        <x:f>IF(AE22=1,"可分析","需检查")</x:f>
        <x:v>可分析</x:v>
      </x:c>
    </x:row>
    <x:row r="23" ht="44" customHeight="1">
      <x:c r="A23" s="122" t="str">
        <x:v>V019</x:v>
      </x:c>
      <x:c r="B23" s="127" t="n">
        <x:v>46237</x:v>
      </x:c>
      <x:c r="C23" s="122" t="str">
        <x:v>轻盈Go便携榨汁杯</x:v>
      </x:c>
      <x:c r="D23" s="122" t="str">
        <x:v>小家电/便携榨汁杯</x:v>
      </x:c>
      <x:c r="E23" s="122" t="str">
        <x:v>50-99元</x:v>
      </x:c>
      <x:c r="F23" s="122" t="str">
        <x:v>通用</x:v>
      </x:c>
      <x:c r="G23" s="148" t="str">
        <x:v>杯身材质与接口逐项说明</x:v>
      </x:c>
      <x:c r="H23" s="148" t="str">
        <x:v>先看杯身材质，再看杯盖密封圈、充电接口和按键逻辑，最后24秒处展示搅打效果。感兴趣可以点击参数页。</x:v>
      </x:c>
      <x:c r="I23" s="148" t="str">
        <x:v>先看杯身材质，再看杯盖密封圈、充电接口和按键逻辑</x:v>
      </x:c>
      <x:c r="J23" s="142" t="n">
        <x:v>24</x:v>
      </x:c>
      <x:c r="K23" s="122" t="str">
        <x:v>否</x:v>
      </x:c>
      <x:c r="L23" s="122" t="str">
        <x:v>否</x:v>
      </x:c>
      <x:c r="M23" s="122" t="str">
        <x:v>是</x:v>
      </x:c>
      <x:c r="N23" s="122" t="str">
        <x:v>否</x:v>
      </x:c>
      <x:c r="O23" s="130" t="n">
        <x:v>7500</x:v>
      </x:c>
      <x:c r="P23" s="130" t="n">
        <x:v>220</x:v>
      </x:c>
      <x:c r="Q23" s="130" t="n">
        <x:v>20</x:v>
      </x:c>
      <x:c r="R23" s="130" t="n">
        <x:v>75</x:v>
      </x:c>
      <x:c r="S23" s="130" t="n">
        <x:v>25</x:v>
      </x:c>
      <x:c r="T23" s="133" t="n">
        <x:v>0.23</x:v>
      </x:c>
      <x:c r="U23" s="145" t="n">
        <x:v>7.7</x:v>
      </x:c>
      <x:c r="V23" s="133" t="n">
        <x:v>0.5</x:v>
      </x:c>
      <x:c r="W23" s="130" t="n">
        <x:v>180</x:v>
      </x:c>
      <x:c r="X23" s="130" t="n">
        <x:v>12</x:v>
      </x:c>
      <x:c r="Y23" s="148" t="str">
        <x:v>参数前置</x:v>
      </x:c>
      <x:c r="Z23" s="148" t="str"/>
      <x:c r="AA23" s="136" t="n">
        <x:f>IF(O23&gt;0,(P23+Q23+R23+S23)/O23,"")</x:f>
        <x:v>0.04533333333333334</x:v>
      </x:c>
      <x:c r="AB23" s="136" t="n">
        <x:f>IF(O23&gt;0,W23/O23,"")</x:f>
        <x:v>0.024</x:v>
      </x:c>
      <x:c r="AC23" s="136" t="n">
        <x:f>IF(W23&gt;0,X23/W23,"")</x:f>
        <x:v>0.06666666666666667</x:v>
      </x:c>
      <x:c r="AD23" s="123" t="str">
        <x:f>IF(J23="","",IF(J23&lt;=10,"≤10秒",IF(J23&lt;=20,"11—20秒",IF(J23&lt;=30,"21—30秒","&gt;30秒"))))</x:f>
        <x:v>21—30秒</x:v>
      </x:c>
      <x:c r="AE23" s="139" t="n">
        <x:f>(IF(A23&lt;&gt;"",1,0)+IF(D23&lt;&gt;"",1,0)+IF(O23&gt;0,1,0)+IF(OR(G23&lt;&gt;"",H23&lt;&gt;"",I23&lt;&gt;""),1,0)+IF(OR(T23&lt;&gt;"",U23&lt;&gt;"",V23&lt;&gt;""),1,0))/5</x:f>
        <x:v>1</x:v>
      </x:c>
      <x:c r="AF23" s="123" t="str">
        <x:f>IF(AE23=1,"可分析","需检查")</x:f>
        <x:v>可分析</x:v>
      </x:c>
    </x:row>
    <x:row r="24" ht="44" customHeight="1">
      <x:c r="A24" s="124" t="str">
        <x:v>V020</x:v>
      </x:c>
      <x:c r="B24" s="128" t="n">
        <x:v>46238</x:v>
      </x:c>
      <x:c r="C24" s="124" t="str">
        <x:v>轻盈Go便携榨汁杯</x:v>
      </x:c>
      <x:c r="D24" s="124" t="str">
        <x:v>小家电/便携榨汁杯</x:v>
      </x:c>
      <x:c r="E24" s="124" t="str">
        <x:v>50-99元</x:v>
      </x:c>
      <x:c r="F24" s="124" t="str">
        <x:v>健身人群</x:v>
      </x:c>
      <x:c r="G24" s="149" t="str">
        <x:v>刚开始健身的上班族看这里</x:v>
      </x:c>
      <x:c r="H24" s="149" t="str">
        <x:v>刚开始健身、又总在外面买饮料的上班族看这里。水果和牛奶提前分装，18秒完成一杯奶昔。关注后回复“配方”查看组合。</x:v>
      </x:c>
      <x:c r="I24" s="149" t="str">
        <x:v>刚开始健身、又总在外面买饮料的上班族看这里</x:v>
      </x:c>
      <x:c r="J24" s="143" t="n">
        <x:v>18</x:v>
      </x:c>
      <x:c r="K24" s="124" t="str">
        <x:v>是</x:v>
      </x:c>
      <x:c r="L24" s="124" t="str">
        <x:v>是</x:v>
      </x:c>
      <x:c r="M24" s="124" t="str">
        <x:v>否</x:v>
      </x:c>
      <x:c r="N24" s="124" t="str">
        <x:v>否</x:v>
      </x:c>
      <x:c r="O24" s="131" t="n">
        <x:v>11700</x:v>
      </x:c>
      <x:c r="P24" s="131" t="n">
        <x:v>500</x:v>
      </x:c>
      <x:c r="Q24" s="131" t="n">
        <x:v>55</x:v>
      </x:c>
      <x:c r="R24" s="131" t="n">
        <x:v>245</x:v>
      </x:c>
      <x:c r="S24" s="131" t="n">
        <x:v>80</x:v>
      </x:c>
      <x:c r="T24" s="134" t="n">
        <x:v>0.31</x:v>
      </x:c>
      <x:c r="U24" s="146" t="n">
        <x:v>8.9</x:v>
      </x:c>
      <x:c r="V24" s="134" t="n">
        <x:v>0.67</x:v>
      </x:c>
      <x:c r="W24" s="131" t="n">
        <x:v>456</x:v>
      </x:c>
      <x:c r="X24" s="131" t="n">
        <x:v>34</x:v>
      </x:c>
      <x:c r="Y24" s="149" t="str">
        <x:v>人群点名；关注+评论</x:v>
      </x:c>
      <x:c r="Z24" s="149" t="str"/>
      <x:c r="AA24" s="137" t="n">
        <x:f>IF(O24&gt;0,(P24+Q24+R24+S24)/O24,"")</x:f>
        <x:v>0.07521367521367521</x:v>
      </x:c>
      <x:c r="AB24" s="137" t="n">
        <x:f>IF(O24&gt;0,W24/O24,"")</x:f>
        <x:v>0.038974358974358976</x:v>
      </x:c>
      <x:c r="AC24" s="137" t="n">
        <x:f>IF(W24&gt;0,X24/W24,"")</x:f>
        <x:v>0.07456140350877193</x:v>
      </x:c>
      <x:c r="AD24" s="125" t="str">
        <x:f>IF(J24="","",IF(J24&lt;=10,"≤10秒",IF(J24&lt;=20,"11—20秒",IF(J24&lt;=30,"21—30秒","&gt;30秒"))))</x:f>
        <x:v>11—20秒</x:v>
      </x:c>
      <x:c r="AE24" s="140" t="n">
        <x:f>(IF(A24&lt;&gt;"",1,0)+IF(D24&lt;&gt;"",1,0)+IF(O24&gt;0,1,0)+IF(OR(G24&lt;&gt;"",H24&lt;&gt;"",I24&lt;&gt;""),1,0)+IF(OR(T24&lt;&gt;"",U24&lt;&gt;"",V24&lt;&gt;""),1,0))/5</x:f>
        <x:v>1</x:v>
      </x:c>
      <x:c r="AF24" s="125" t="str">
        <x:f>IF(AE24=1,"可分析","需检查")</x:f>
        <x:v>可分析</x:v>
      </x:c>
    </x:row>
  </x:sheetData>
  <x:mergeCells>
    <x:mergeCell ref="A1:AF2"/>
    <x:mergeCell ref="A3:Z3"/>
    <x:mergeCell ref="AA3:AF3"/>
  </x:mergeCells>
  <x:conditionalFormatting sqref="AF5:AF24">
    <x:cfRule type="containsText" dxfId="2" priority="1" operator="containsText" text="可分析"/>
    <x:cfRule type="containsText" dxfId="3" priority="2" operator="containsText" text="需检查"/>
  </x:conditionalFormatting>
  <x:conditionalFormatting sqref="AE5:AE24">
    <x:cfRule type="dataBar" priority="3">
      <x:dataBar>
        <x:cfvo type="min"/>
        <x:cfvo type="max"/>
        <x:color rgb="FF13A89E"/>
      </x:dataBar>
      <x:extLst>
        <x:ext xmlns:x14="http://schemas.microsoft.com/office/spreadsheetml/2009/9/main" uri="{B025F937-C7B1-47D3-B67F-A62EFF666E3E}">
          <x14:id>{8DEB6364-1E76-6080-2DDF-C491A5C6BC91}</x14:id>
        </x:ext>
      </x:extLst>
    </x:cfRule>
  </x:conditionalFormatting>
  <x:dataValidations count="7">
    <x:dataValidation type="list" sqref="K5:N24">
      <x:formula1>"是,否,未知"</x:formula1>
    </x:dataValidation>
    <x:dataValidation type="list" sqref="E5:E24">
      <x:formula1>"≤49元,50-99元,100-199元,200-499元,≥500元"</x:formula1>
    </x:dataValidation>
    <x:dataValidation type="whole" operator="between" sqref="J5:J24">
      <x:formula1>1</x:formula1>
      <x:formula2>300</x:formula2>
    </x:dataValidation>
    <x:dataValidation type="whole" operator="between" sqref="O5:S24">
      <x:formula1>0</x:formula1>
      <x:formula2>1000000000</x:formula2>
    </x:dataValidation>
    <x:dataValidation type="whole" operator="between" sqref="W5:X24">
      <x:formula1>0</x:formula1>
      <x:formula2>1000000000</x:formula2>
    </x:dataValidation>
    <x:dataValidation type="decimal" operator="between" sqref="T5:T24">
      <x:formula1>0</x:formula1>
      <x:formula2>1</x:formula2>
    </x:dataValidation>
    <x:dataValidation type="decimal" operator="between" sqref="V5:V24">
      <x:formula1>0</x:formula1>
      <x:formula2>1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ea3da8da38f94fea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" id="{8DEB6364-1E76-6080-2DDF-C491A5C6BC91}">
            <x14:dataBar gradient="1">
              <x14:cfvo type="min"/>
              <x14:cfvo type="max"/>
              <x14:fillColor rgb="FF13A89E"/>
            </x14:dataBar>
          </x14:cfRule>
          <xm:sqref>AE5:AE24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890000343322754" hidden="0" customWidth="1"/>
    <x:col min="2" max="2" width="10.5600004196167" hidden="0" customWidth="1"/>
    <x:col min="3" max="3" width="27.780000686645508" hidden="0" customWidth="1"/>
    <x:col min="4" max="4" width="31.110000610351562" hidden="0" customWidth="1"/>
    <x:col min="5" max="5" width="18.889999389648438" hidden="0" customWidth="1"/>
    <x:col min="6" max="6" width="10.5600004196167" hidden="0" customWidth="1"/>
    <x:col min="7" max="7" width="10" hidden="0" customWidth="1"/>
    <x:col min="8" max="8" width="9.4399995803833" hidden="0" customWidth="1"/>
    <x:col min="9" max="9" width="8.890000343322754" hidden="0" customWidth="1"/>
    <x:col min="10" max="10" width="9.4399995803833" hidden="0" customWidth="1"/>
    <x:col min="11" max="11" width="8.890000343322754" hidden="0" customWidth="1"/>
    <x:col min="12" max="12" width="11.109999656677246" hidden="0" customWidth="1"/>
    <x:col min="13" max="13" width="10.5600004196167" hidden="0" customWidth="1"/>
    <x:col min="14" max="14" width="12.220000267028809" hidden="0" customWidth="1"/>
  </x:cols>
  <x:sheetData>
    <x:row r="1" ht="52" customHeight="1">
      <x:c r="A1" s="4" t="str">
        <x:v>Prompt 评测人工金标
20 条演示视频的预期结构化标签；用于 Few-shot、准确率/F1 与证据一致率评测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52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</x:row>
    <x:row r="3">
      <x:c r="A3" s="189" t="str">
        <x:v>注意：hook_evidence 必须是输入原文中的连续片段；人工金标是评测基准，不应作为模型输入直接泄漏。</x:v>
      </x:c>
      <x:c r="B3" s="189"/>
      <x:c r="C3" s="189"/>
      <x:c r="D3" s="189"/>
      <x:c r="E3" s="189"/>
      <x:c r="F3" s="189"/>
      <x:c r="G3" s="189"/>
      <x:c r="H3" s="189"/>
      <x:c r="I3" s="189"/>
      <x:c r="J3" s="189"/>
      <x:c r="K3" s="189"/>
      <x:c r="L3" s="189"/>
      <x:c r="M3" s="189"/>
      <x:c r="N3" s="189"/>
    </x:row>
    <x:row r="4" ht="48" customHeight="1">
      <x:c r="A4" s="39" t="str">
        <x:v>video_id</x:v>
      </x:c>
      <x:c r="B4" s="40" t="str">
        <x:v>hook_type</x:v>
      </x:c>
      <x:c r="C4" s="40" t="str">
        <x:v>hook_evidence</x:v>
      </x:c>
      <x:c r="D4" s="40" t="str">
        <x:v>content_structure</x:v>
      </x:c>
      <x:c r="E4" s="40" t="str">
        <x:v>selling_points</x:v>
      </x:c>
      <x:c r="F4" s="40" t="str">
        <x:v>cta_type</x:v>
      </x:c>
      <x:c r="G4" s="40" t="str">
        <x:v>target_audience</x:v>
      </x:c>
      <x:c r="H4" s="40" t="str">
        <x:v>person_on_camera</x:v>
      </x:c>
      <x:c r="I4" s="40" t="str">
        <x:v>scene_demo</x:v>
      </x:c>
      <x:c r="J4" s="40" t="str">
        <x:v>product_closeup</x:v>
      </x:c>
      <x:c r="K4" s="40" t="str">
        <x:v>before_after</x:v>
      </x:c>
      <x:c r="L4" s="40" t="str">
        <x:v>label_confidence</x:v>
      </x:c>
      <x:c r="M4" s="40" t="str">
        <x:v>confidence_level</x:v>
      </x:c>
      <x:c r="N4" s="41" t="str">
        <x:v>human_review_status</x:v>
      </x:c>
    </x:row>
    <x:row r="5" ht="36" customHeight="1">
      <x:c r="A5" s="85" t="str">
        <x:v>V001</x:v>
      </x:c>
      <x:c r="B5" s="85" t="str">
        <x:v>效果前置</x:v>
      </x:c>
      <x:c r="C5" s="154" t="str">
        <x:v>15秒，一杯草莓果昔就打好了</x:v>
      </x:c>
      <x:c r="D5" s="154" t="str">
        <x:v>效果展示 → 产品介绍 → 人群/场景 → 价格优惠 → 行动引导</x:v>
      </x:c>
      <x:c r="E5" s="154" t="str">
        <x:v>快速搅打；便携</x:v>
      </x:c>
      <x:c r="F5" s="154" t="str">
        <x:v>优惠引导</x:v>
      </x:c>
      <x:c r="G5" s="154" t="str">
        <x:v>上班族</x:v>
      </x:c>
      <x:c r="H5" s="85" t="str">
        <x:v>是</x:v>
      </x:c>
      <x:c r="I5" s="85" t="str">
        <x:v>是</x:v>
      </x:c>
      <x:c r="J5" s="85" t="str">
        <x:v>是</x:v>
      </x:c>
      <x:c r="K5" s="85" t="str">
        <x:v>否</x:v>
      </x:c>
      <x:c r="L5" s="151" t="n">
        <x:v>0.94</x:v>
      </x:c>
      <x:c r="M5" s="85" t="str">
        <x:v>高</x:v>
      </x:c>
      <x:c r="N5" s="85" t="str">
        <x:v>已确认</x:v>
      </x:c>
    </x:row>
    <x:row r="6" ht="36" customHeight="1">
      <x:c r="A6" s="86" t="str">
        <x:v>V002</x:v>
      </x:c>
      <x:c r="B6" s="86" t="str">
        <x:v>痛点前置</x:v>
      </x:c>
      <x:c r="C6" s="155" t="str">
        <x:v>早上赶时间，早餐总是随便对付？</x:v>
      </x:c>
      <x:c r="D6" s="155" t="str">
        <x:v>痛点描述 → 人群/场景 → 产品介绍 → 卖点证明 → 行动引导</x:v>
      </x:c>
      <x:c r="E6" s="155" t="str">
        <x:v>快速制作；容量</x:v>
      </x:c>
      <x:c r="F6" s="155" t="str">
        <x:v>购买引导</x:v>
      </x:c>
      <x:c r="G6" s="155" t="str">
        <x:v>健身人群</x:v>
      </x:c>
      <x:c r="H6" s="86" t="str">
        <x:v>是</x:v>
      </x:c>
      <x:c r="I6" s="86" t="str">
        <x:v>是</x:v>
      </x:c>
      <x:c r="J6" s="86" t="str">
        <x:v>是</x:v>
      </x:c>
      <x:c r="K6" s="86" t="str">
        <x:v>否</x:v>
      </x:c>
      <x:c r="L6" s="152" t="n">
        <x:v>0.91</x:v>
      </x:c>
      <x:c r="M6" s="86" t="str">
        <x:v>高</x:v>
      </x:c>
      <x:c r="N6" s="86" t="str">
        <x:v>已确认</x:v>
      </x:c>
    </x:row>
    <x:row r="7" ht="36" customHeight="1">
      <x:c r="A7" s="86" t="str">
        <x:v>V003</x:v>
      </x:c>
      <x:c r="B7" s="86" t="str">
        <x:v>价格利益</x:v>
      </x:c>
      <x:c r="C7" s="155" t="str">
        <x:v>不到一百元，就能在宿舍随时打果汁</x:v>
      </x:c>
      <x:c r="D7" s="155" t="str">
        <x:v>价格优惠 → 人群/场景 → 产品介绍 → 卖点证明 → 行动引导</x:v>
      </x:c>
      <x:c r="E7" s="155" t="str">
        <x:v>轻便；续航；易清洗</x:v>
      </x:c>
      <x:c r="F7" s="155" t="str">
        <x:v>优惠引导</x:v>
      </x:c>
      <x:c r="G7" s="155" t="str">
        <x:v>学生</x:v>
      </x:c>
      <x:c r="H7" s="86" t="str">
        <x:v>是</x:v>
      </x:c>
      <x:c r="I7" s="86" t="str">
        <x:v>是</x:v>
      </x:c>
      <x:c r="J7" s="86" t="str">
        <x:v>是</x:v>
      </x:c>
      <x:c r="K7" s="86" t="str">
        <x:v>否</x:v>
      </x:c>
      <x:c r="L7" s="152" t="n">
        <x:v>0.95</x:v>
      </x:c>
      <x:c r="M7" s="86" t="str">
        <x:v>高</x:v>
      </x:c>
      <x:c r="N7" s="86" t="str">
        <x:v>已确认</x:v>
      </x:c>
    </x:row>
    <x:row r="8" ht="36" customHeight="1">
      <x:c r="A8" s="86" t="str">
        <x:v>V004</x:v>
      </x:c>
      <x:c r="B8" s="86" t="str">
        <x:v>效果前置</x:v>
      </x:c>
      <x:c r="C8" s="155" t="str">
        <x:v>整块香蕉和牛奶14秒变成顺滑奶昔</x:v>
      </x:c>
      <x:c r="D8" s="155" t="str">
        <x:v>效果展示 → 卖点证明 → 产品介绍 → 行动引导</x:v>
      </x:c>
      <x:c r="E8" s="155" t="str">
        <x:v>搅打细腻；易清洗；便携</x:v>
      </x:c>
      <x:c r="F8" s="155" t="str">
        <x:v>购买引导</x:v>
      </x:c>
      <x:c r="G8" s="155" t="str">
        <x:v>宝妈</x:v>
      </x:c>
      <x:c r="H8" s="86" t="str">
        <x:v>是</x:v>
      </x:c>
      <x:c r="I8" s="86" t="str">
        <x:v>是</x:v>
      </x:c>
      <x:c r="J8" s="86" t="str">
        <x:v>是</x:v>
      </x:c>
      <x:c r="K8" s="86" t="str">
        <x:v>是</x:v>
      </x:c>
      <x:c r="L8" s="152" t="n">
        <x:v>0.96</x:v>
      </x:c>
      <x:c r="M8" s="86" t="str">
        <x:v>高</x:v>
      </x:c>
      <x:c r="N8" s="86" t="str">
        <x:v>已确认</x:v>
      </x:c>
    </x:row>
    <x:row r="9" ht="36" customHeight="1">
      <x:c r="A9" s="86" t="str">
        <x:v>V005</x:v>
      </x:c>
      <x:c r="B9" s="86" t="str">
        <x:v>参数介绍</x:v>
      </x:c>
      <x:c r="C9" s="155" t="str">
        <x:v>这款榨汁杯采用六叶刀头，容量300毫升</x:v>
      </x:c>
      <x:c r="D9" s="155" t="str">
        <x:v>产品介绍 → 卖点证明 → 行动引导</x:v>
      </x:c>
      <x:c r="E9" s="155" t="str">
        <x:v>六叶刀头；300ml；70W</x:v>
      </x:c>
      <x:c r="F9" s="155" t="str">
        <x:v>购买引导</x:v>
      </x:c>
      <x:c r="G9" s="155" t="str">
        <x:v>通用</x:v>
      </x:c>
      <x:c r="H9" s="86" t="str">
        <x:v>否</x:v>
      </x:c>
      <x:c r="I9" s="86" t="str">
        <x:v>否</x:v>
      </x:c>
      <x:c r="J9" s="86" t="str">
        <x:v>是</x:v>
      </x:c>
      <x:c r="K9" s="86" t="str">
        <x:v>否</x:v>
      </x:c>
      <x:c r="L9" s="152" t="n">
        <x:v>0.93</x:v>
      </x:c>
      <x:c r="M9" s="86" t="str">
        <x:v>高</x:v>
      </x:c>
      <x:c r="N9" s="86" t="str">
        <x:v>已确认</x:v>
      </x:c>
    </x:row>
    <x:row r="10" ht="36" customHeight="1">
      <x:c r="A10" s="86" t="str">
        <x:v>V006</x:v>
      </x:c>
      <x:c r="B10" s="86" t="str">
        <x:v>痛点前置</x:v>
      </x:c>
      <x:c r="C10" s="155" t="str">
        <x:v>办公室想喝果汁又不想排队？</x:v>
      </x:c>
      <x:c r="D10" s="155" t="str">
        <x:v>痛点描述 → 人群/场景 → 产品介绍 → 卖点证明 → 行动引导</x:v>
      </x:c>
      <x:c r="E10" s="155" t="str">
        <x:v>快速制作；易清洗</x:v>
      </x:c>
      <x:c r="F10" s="155" t="str">
        <x:v>购买引导</x:v>
      </x:c>
      <x:c r="G10" s="155" t="str">
        <x:v>上班族</x:v>
      </x:c>
      <x:c r="H10" s="86" t="str">
        <x:v>是</x:v>
      </x:c>
      <x:c r="I10" s="86" t="str">
        <x:v>是</x:v>
      </x:c>
      <x:c r="J10" s="86" t="str">
        <x:v>是</x:v>
      </x:c>
      <x:c r="K10" s="86" t="str">
        <x:v>否</x:v>
      </x:c>
      <x:c r="L10" s="152" t="n">
        <x:v>0.92</x:v>
      </x:c>
      <x:c r="M10" s="86" t="str">
        <x:v>高</x:v>
      </x:c>
      <x:c r="N10" s="86" t="str">
        <x:v>已确认</x:v>
      </x:c>
    </x:row>
    <x:row r="11" ht="36" customHeight="1">
      <x:c r="A11" s="86" t="str">
        <x:v>V007</x:v>
      </x:c>
      <x:c r="B11" s="86" t="str">
        <x:v>效果前置</x:v>
      </x:c>
      <x:c r="C11" s="155" t="str">
        <x:v>17秒，一杯没有明显结块的蛋白奶昔完成</x:v>
      </x:c>
      <x:c r="D11" s="155" t="str">
        <x:v>效果展示 → 卖点证明 → 人群/场景 → 价格优惠</x:v>
      </x:c>
      <x:c r="E11" s="155" t="str">
        <x:v>搅打均匀；便携</x:v>
      </x:c>
      <x:c r="F11" s="155" t="str">
        <x:v>优惠引导</x:v>
      </x:c>
      <x:c r="G11" s="155" t="str">
        <x:v>健身人群</x:v>
      </x:c>
      <x:c r="H11" s="86" t="str">
        <x:v>是</x:v>
      </x:c>
      <x:c r="I11" s="86" t="str">
        <x:v>是</x:v>
      </x:c>
      <x:c r="J11" s="86" t="str">
        <x:v>是</x:v>
      </x:c>
      <x:c r="K11" s="86" t="str">
        <x:v>否</x:v>
      </x:c>
      <x:c r="L11" s="152" t="n">
        <x:v>0.95</x:v>
      </x:c>
      <x:c r="M11" s="86" t="str">
        <x:v>高</x:v>
      </x:c>
      <x:c r="N11" s="86" t="str">
        <x:v>已确认</x:v>
      </x:c>
    </x:row>
    <x:row r="12" ht="36" customHeight="1">
      <x:c r="A12" s="86" t="str">
        <x:v>V008</x:v>
      </x:c>
      <x:c r="B12" s="86" t="str">
        <x:v>悬念提问</x:v>
      </x:c>
      <x:c r="C12" s="155" t="str">
        <x:v>猜猜这杯芒果酸奶在宿舍做要多少钱？</x:v>
      </x:c>
      <x:c r="D12" s="155" t="str">
        <x:v>人群/场景 → 悬念提问 → 效果展示 → 价格优惠 → 行动引导</x:v>
      </x:c>
      <x:c r="E12" s="155" t="str">
        <x:v>低成本；快速制作</x:v>
      </x:c>
      <x:c r="F12" s="155" t="str">
        <x:v>评论互动</x:v>
      </x:c>
      <x:c r="G12" s="155" t="str">
        <x:v>学生</x:v>
      </x:c>
      <x:c r="H12" s="86" t="str">
        <x:v>是</x:v>
      </x:c>
      <x:c r="I12" s="86" t="str">
        <x:v>是</x:v>
      </x:c>
      <x:c r="J12" s="86" t="str">
        <x:v>是</x:v>
      </x:c>
      <x:c r="K12" s="86" t="str">
        <x:v>否</x:v>
      </x:c>
      <x:c r="L12" s="152" t="n">
        <x:v>0.9</x:v>
      </x:c>
      <x:c r="M12" s="86" t="str">
        <x:v>高</x:v>
      </x:c>
      <x:c r="N12" s="86" t="str">
        <x:v>已确认</x:v>
      </x:c>
    </x:row>
    <x:row r="13" ht="36" customHeight="1">
      <x:c r="A13" s="86" t="str">
        <x:v>V009</x:v>
      </x:c>
      <x:c r="B13" s="86" t="str">
        <x:v>人群点名</x:v>
      </x:c>
      <x:c r="C13" s="155" t="str">
        <x:v>经常加班、晚饭不规律的人，可以提前准备水果</x:v>
      </x:c>
      <x:c r="D13" s="155" t="str">
        <x:v>人群/场景 → 痛点描述 → 产品介绍 → 行动引导</x:v>
      </x:c>
      <x:c r="E13" s="155" t="str">
        <x:v>便携；快速制作</x:v>
      </x:c>
      <x:c r="F13" s="155" t="str">
        <x:v>关注引导</x:v>
      </x:c>
      <x:c r="G13" s="155" t="str">
        <x:v>上班族</x:v>
      </x:c>
      <x:c r="H13" s="86" t="str">
        <x:v>是</x:v>
      </x:c>
      <x:c r="I13" s="86" t="str">
        <x:v>是</x:v>
      </x:c>
      <x:c r="J13" s="86" t="str">
        <x:v>否</x:v>
      </x:c>
      <x:c r="K13" s="86" t="str">
        <x:v>否</x:v>
      </x:c>
      <x:c r="L13" s="152" t="n">
        <x:v>0.89</x:v>
      </x:c>
      <x:c r="M13" s="86" t="str">
        <x:v>高</x:v>
      </x:c>
      <x:c r="N13" s="86" t="str">
        <x:v>已确认</x:v>
      </x:c>
    </x:row>
    <x:row r="14" ht="36" customHeight="1">
      <x:c r="A14" s="86" t="str">
        <x:v>V010</x:v>
      </x:c>
      <x:c r="B14" s="86" t="str">
        <x:v>价格利益</x:v>
      </x:c>
      <x:c r="C14" s="155" t="str">
        <x:v>一杯奶茶的钱，就能把这只便携榨汁杯带回宿舍</x:v>
      </x:c>
      <x:c r="D14" s="155" t="str">
        <x:v>价格优惠 → 人群/场景 → 产品介绍 → 行动引导</x:v>
      </x:c>
      <x:c r="E14" s="155" t="str">
        <x:v>低价；小巧</x:v>
      </x:c>
      <x:c r="F14" s="155" t="str">
        <x:v>优惠引导</x:v>
      </x:c>
      <x:c r="G14" s="155" t="str">
        <x:v>学生</x:v>
      </x:c>
      <x:c r="H14" s="86" t="str">
        <x:v>是</x:v>
      </x:c>
      <x:c r="I14" s="86" t="str">
        <x:v>是</x:v>
      </x:c>
      <x:c r="J14" s="86" t="str">
        <x:v>是</x:v>
      </x:c>
      <x:c r="K14" s="86" t="str">
        <x:v>否</x:v>
      </x:c>
      <x:c r="L14" s="152" t="n">
        <x:v>0.95</x:v>
      </x:c>
      <x:c r="M14" s="86" t="str">
        <x:v>高</x:v>
      </x:c>
      <x:c r="N14" s="86" t="str">
        <x:v>已确认</x:v>
      </x:c>
    </x:row>
    <x:row r="15" ht="36" customHeight="1">
      <x:c r="A15" s="86" t="str">
        <x:v>V011</x:v>
      </x:c>
      <x:c r="B15" s="86" t="str">
        <x:v>效果前置</x:v>
      </x:c>
      <x:c r="C15" s="155" t="str">
        <x:v>只加清水，启动13秒，杯壁上的果肉残留就被带下来</x:v>
      </x:c>
      <x:c r="D15" s="155" t="str">
        <x:v>效果展示 → 卖点证明 → 产品介绍 → 行动引导</x:v>
      </x:c>
      <x:c r="E15" s="155" t="str">
        <x:v>易清洗；省事</x:v>
      </x:c>
      <x:c r="F15" s="155" t="str">
        <x:v>购买引导</x:v>
      </x:c>
      <x:c r="G15" s="155" t="str">
        <x:v>通用</x:v>
      </x:c>
      <x:c r="H15" s="86" t="str">
        <x:v>是</x:v>
      </x:c>
      <x:c r="I15" s="86" t="str">
        <x:v>是</x:v>
      </x:c>
      <x:c r="J15" s="86" t="str">
        <x:v>是</x:v>
      </x:c>
      <x:c r="K15" s="86" t="str">
        <x:v>是</x:v>
      </x:c>
      <x:c r="L15" s="152" t="n">
        <x:v>0.96</x:v>
      </x:c>
      <x:c r="M15" s="86" t="str">
        <x:v>高</x:v>
      </x:c>
      <x:c r="N15" s="86" t="str">
        <x:v>已确认</x:v>
      </x:c>
    </x:row>
    <x:row r="16" ht="36" customHeight="1">
      <x:c r="A16" s="86" t="str">
        <x:v>V012</x:v>
      </x:c>
      <x:c r="B16" s="86" t="str">
        <x:v>痛点前置</x:v>
      </x:c>
      <x:c r="C16" s="155" t="str">
        <x:v>孩子不爱直接吃水果怎么办？</x:v>
      </x:c>
      <x:c r="D16" s="155" t="str">
        <x:v>痛点描述 → 人群/场景 → 产品介绍 → 卖点证明 → 行动引导</x:v>
      </x:c>
      <x:c r="E16" s="155" t="str">
        <x:v>搅打细腻；容量</x:v>
      </x:c>
      <x:c r="F16" s="155" t="str">
        <x:v>购买引导</x:v>
      </x:c>
      <x:c r="G16" s="155" t="str">
        <x:v>宝妈</x:v>
      </x:c>
      <x:c r="H16" s="86" t="str">
        <x:v>是</x:v>
      </x:c>
      <x:c r="I16" s="86" t="str">
        <x:v>是</x:v>
      </x:c>
      <x:c r="J16" s="86" t="str">
        <x:v>是</x:v>
      </x:c>
      <x:c r="K16" s="86" t="str">
        <x:v>否</x:v>
      </x:c>
      <x:c r="L16" s="152" t="n">
        <x:v>0.91</x:v>
      </x:c>
      <x:c r="M16" s="86" t="str">
        <x:v>高</x:v>
      </x:c>
      <x:c r="N16" s="86" t="str">
        <x:v>已确认</x:v>
      </x:c>
    </x:row>
    <x:row r="17" ht="36" customHeight="1">
      <x:c r="A17" s="86" t="str">
        <x:v>V013</x:v>
      </x:c>
      <x:c r="B17" s="86" t="str">
        <x:v>参数介绍</x:v>
      </x:c>
      <x:c r="C17" s="155" t="str">
        <x:v>先介绍电池容量、转速和六叶刀头结构</x:v>
      </x:c>
      <x:c r="D17" s="155" t="str">
        <x:v>产品介绍 → 卖点证明 → 效果展示 → 行动引导</x:v>
      </x:c>
      <x:c r="E17" s="155" t="str">
        <x:v>电池容量；转速；六叶刀头</x:v>
      </x:c>
      <x:c r="F17" s="155" t="str">
        <x:v>私信引导</x:v>
      </x:c>
      <x:c r="G17" s="155" t="str">
        <x:v>通用</x:v>
      </x:c>
      <x:c r="H17" s="86" t="str">
        <x:v>否</x:v>
      </x:c>
      <x:c r="I17" s="86" t="str">
        <x:v>否</x:v>
      </x:c>
      <x:c r="J17" s="86" t="str">
        <x:v>是</x:v>
      </x:c>
      <x:c r="K17" s="86" t="str">
        <x:v>否</x:v>
      </x:c>
      <x:c r="L17" s="152" t="n">
        <x:v>0.94</x:v>
      </x:c>
      <x:c r="M17" s="86" t="str">
        <x:v>高</x:v>
      </x:c>
      <x:c r="N17" s="86" t="str">
        <x:v>已确认</x:v>
      </x:c>
    </x:row>
    <x:row r="18" ht="36" customHeight="1">
      <x:c r="A18" s="86" t="str">
        <x:v>V014</x:v>
      </x:c>
      <x:c r="B18" s="86" t="str">
        <x:v>故事场景</x:v>
      </x:c>
      <x:c r="C18" s="155" t="str">
        <x:v>以前我每天早上都来不及吃早餐</x:v>
      </x:c>
      <x:c r="D18" s="155" t="str">
        <x:v>人群/场景 → 痛点描述 → 产品介绍 → 卖点证明 → 行动引导</x:v>
      </x:c>
      <x:c r="E18" s="155" t="str">
        <x:v>便携；易清洗</x:v>
      </x:c>
      <x:c r="F18" s="155" t="str">
        <x:v>购买引导</x:v>
      </x:c>
      <x:c r="G18" s="155" t="str">
        <x:v>上班族</x:v>
      </x:c>
      <x:c r="H18" s="86" t="str">
        <x:v>是</x:v>
      </x:c>
      <x:c r="I18" s="86" t="str">
        <x:v>是</x:v>
      </x:c>
      <x:c r="J18" s="86" t="str">
        <x:v>是</x:v>
      </x:c>
      <x:c r="K18" s="86" t="str">
        <x:v>否</x:v>
      </x:c>
      <x:c r="L18" s="152" t="n">
        <x:v>0.9</x:v>
      </x:c>
      <x:c r="M18" s="86" t="str">
        <x:v>高</x:v>
      </x:c>
      <x:c r="N18" s="86" t="str">
        <x:v>已确认</x:v>
      </x:c>
    </x:row>
    <x:row r="19" ht="36" customHeight="1">
      <x:c r="A19" s="86" t="str">
        <x:v>V015</x:v>
      </x:c>
      <x:c r="B19" s="86" t="str">
        <x:v>悬念提问</x:v>
      </x:c>
      <x:c r="C19" s="155" t="str">
        <x:v>为什么做蛋白奶昔要先加水再加粉？</x:v>
      </x:c>
      <x:c r="D19" s="155" t="str">
        <x:v>悬念提问 → 卖点证明 → 效果展示 → 行动引导</x:v>
      </x:c>
      <x:c r="E19" s="155" t="str">
        <x:v>搅打均匀；使用方法</x:v>
      </x:c>
      <x:c r="F19" s="155" t="str">
        <x:v>评论互动</x:v>
      </x:c>
      <x:c r="G19" s="155" t="str">
        <x:v>健身人群</x:v>
      </x:c>
      <x:c r="H19" s="86" t="str">
        <x:v>是</x:v>
      </x:c>
      <x:c r="I19" s="86" t="str">
        <x:v>是</x:v>
      </x:c>
      <x:c r="J19" s="86" t="str">
        <x:v>是</x:v>
      </x:c>
      <x:c r="K19" s="86" t="str">
        <x:v>是</x:v>
      </x:c>
      <x:c r="L19" s="152" t="n">
        <x:v>0.92</x:v>
      </x:c>
      <x:c r="M19" s="86" t="str">
        <x:v>高</x:v>
      </x:c>
      <x:c r="N19" s="86" t="str">
        <x:v>已确认</x:v>
      </x:c>
    </x:row>
    <x:row r="20" ht="36" customHeight="1">
      <x:c r="A20" s="86" t="str">
        <x:v>V016</x:v>
      </x:c>
      <x:c r="B20" s="86" t="str">
        <x:v>效果前置</x:v>
      </x:c>
      <x:c r="C20" s="155" t="str">
        <x:v>冰香蕉加牛奶，18秒打到顺滑状态</x:v>
      </x:c>
      <x:c r="D20" s="155" t="str">
        <x:v>效果展示 → 卖点证明 → 人群/场景 → 价格优惠 → 行动引导</x:v>
      </x:c>
      <x:c r="E20" s="155" t="str">
        <x:v>搅打细腻；便携</x:v>
      </x:c>
      <x:c r="F20" s="155" t="str">
        <x:v>优惠引导</x:v>
      </x:c>
      <x:c r="G20" s="155" t="str">
        <x:v>学生</x:v>
      </x:c>
      <x:c r="H20" s="86" t="str">
        <x:v>是</x:v>
      </x:c>
      <x:c r="I20" s="86" t="str">
        <x:v>是</x:v>
      </x:c>
      <x:c r="J20" s="86" t="str">
        <x:v>是</x:v>
      </x:c>
      <x:c r="K20" s="86" t="str">
        <x:v>是</x:v>
      </x:c>
      <x:c r="L20" s="152" t="n">
        <x:v>0.95</x:v>
      </x:c>
      <x:c r="M20" s="86" t="str">
        <x:v>高</x:v>
      </x:c>
      <x:c r="N20" s="86" t="str">
        <x:v>已确认</x:v>
      </x:c>
    </x:row>
    <x:row r="21" ht="36" customHeight="1">
      <x:c r="A21" s="86" t="str">
        <x:v>V017</x:v>
      </x:c>
      <x:c r="B21" s="86" t="str">
        <x:v>价格利益</x:v>
      </x:c>
      <x:c r="C21" s="155" t="str">
        <x:v>限时券后79元</x:v>
      </x:c>
      <x:c r="D21" s="155" t="str">
        <x:v>价格优惠 → 产品介绍 → 效果展示 → 卖点证明 → 行动引导</x:v>
      </x:c>
      <x:c r="E21" s="155" t="str">
        <x:v>低价；容量；易清洗</x:v>
      </x:c>
      <x:c r="F21" s="155" t="str">
        <x:v>优惠引导</x:v>
      </x:c>
      <x:c r="G21" s="155" t="str">
        <x:v>上班族</x:v>
      </x:c>
      <x:c r="H21" s="86" t="str">
        <x:v>是</x:v>
      </x:c>
      <x:c r="I21" s="86" t="str">
        <x:v>是</x:v>
      </x:c>
      <x:c r="J21" s="86" t="str">
        <x:v>是</x:v>
      </x:c>
      <x:c r="K21" s="86" t="str">
        <x:v>否</x:v>
      </x:c>
      <x:c r="L21" s="152" t="n">
        <x:v>0.96</x:v>
      </x:c>
      <x:c r="M21" s="86" t="str">
        <x:v>高</x:v>
      </x:c>
      <x:c r="N21" s="86" t="str">
        <x:v>已确认</x:v>
      </x:c>
    </x:row>
    <x:row r="22" ht="36" customHeight="1">
      <x:c r="A22" s="86" t="str">
        <x:v>V018</x:v>
      </x:c>
      <x:c r="B22" s="86" t="str">
        <x:v>痛点前置</x:v>
      </x:c>
      <x:c r="C22" s="155" t="str">
        <x:v>宿舍桌面太小，放不下大料理机？</x:v>
      </x:c>
      <x:c r="D22" s="155" t="str">
        <x:v>痛点描述 → 人群/场景 → 产品介绍 → 卖点证明 → 行动引导</x:v>
      </x:c>
      <x:c r="E22" s="155" t="str">
        <x:v>小巧；易收纳</x:v>
      </x:c>
      <x:c r="F22" s="155" t="str">
        <x:v>购买引导</x:v>
      </x:c>
      <x:c r="G22" s="155" t="str">
        <x:v>学生</x:v>
      </x:c>
      <x:c r="H22" s="86" t="str">
        <x:v>是</x:v>
      </x:c>
      <x:c r="I22" s="86" t="str">
        <x:v>是</x:v>
      </x:c>
      <x:c r="J22" s="86" t="str">
        <x:v>是</x:v>
      </x:c>
      <x:c r="K22" s="86" t="str">
        <x:v>否</x:v>
      </x:c>
      <x:c r="L22" s="152" t="n">
        <x:v>0.93</x:v>
      </x:c>
      <x:c r="M22" s="86" t="str">
        <x:v>高</x:v>
      </x:c>
      <x:c r="N22" s="86" t="str">
        <x:v>已确认</x:v>
      </x:c>
    </x:row>
    <x:row r="23" ht="36" customHeight="1">
      <x:c r="A23" s="86" t="str">
        <x:v>V019</x:v>
      </x:c>
      <x:c r="B23" s="86" t="str">
        <x:v>参数介绍</x:v>
      </x:c>
      <x:c r="C23" s="155" t="str">
        <x:v>先看杯身材质，再看杯盖密封圈、充电接口和按键逻辑</x:v>
      </x:c>
      <x:c r="D23" s="155" t="str">
        <x:v>产品介绍 → 卖点证明 → 效果展示 → 行动引导</x:v>
      </x:c>
      <x:c r="E23" s="155" t="str">
        <x:v>材质；密封；充电接口</x:v>
      </x:c>
      <x:c r="F23" s="155" t="str">
        <x:v>购买引导</x:v>
      </x:c>
      <x:c r="G23" s="155" t="str">
        <x:v>通用</x:v>
      </x:c>
      <x:c r="H23" s="86" t="str">
        <x:v>否</x:v>
      </x:c>
      <x:c r="I23" s="86" t="str">
        <x:v>否</x:v>
      </x:c>
      <x:c r="J23" s="86" t="str">
        <x:v>是</x:v>
      </x:c>
      <x:c r="K23" s="86" t="str">
        <x:v>否</x:v>
      </x:c>
      <x:c r="L23" s="152" t="n">
        <x:v>0.94</x:v>
      </x:c>
      <x:c r="M23" s="86" t="str">
        <x:v>高</x:v>
      </x:c>
      <x:c r="N23" s="86" t="str">
        <x:v>已确认</x:v>
      </x:c>
    </x:row>
    <x:row r="24" ht="36" customHeight="1">
      <x:c r="A24" s="87" t="str">
        <x:v>V020</x:v>
      </x:c>
      <x:c r="B24" s="87" t="str">
        <x:v>人群点名</x:v>
      </x:c>
      <x:c r="C24" s="156" t="str">
        <x:v>刚开始健身、又总在外面买饮料的上班族看这里</x:v>
      </x:c>
      <x:c r="D24" s="156" t="str">
        <x:v>人群/场景 → 痛点描述 → 产品介绍 → 行动引导</x:v>
      </x:c>
      <x:c r="E24" s="156" t="str">
        <x:v>便携；快速制作</x:v>
      </x:c>
      <x:c r="F24" s="156" t="str">
        <x:v>关注引导</x:v>
      </x:c>
      <x:c r="G24" s="156" t="str">
        <x:v>健身人群</x:v>
      </x:c>
      <x:c r="H24" s="87" t="str">
        <x:v>是</x:v>
      </x:c>
      <x:c r="I24" s="87" t="str">
        <x:v>是</x:v>
      </x:c>
      <x:c r="J24" s="87" t="str">
        <x:v>否</x:v>
      </x:c>
      <x:c r="K24" s="87" t="str">
        <x:v>否</x:v>
      </x:c>
      <x:c r="L24" s="153" t="n">
        <x:v>0.91</x:v>
      </x:c>
      <x:c r="M24" s="87" t="str">
        <x:v>高</x:v>
      </x:c>
      <x:c r="N24" s="87" t="str">
        <x:v>已确认</x:v>
      </x:c>
    </x:row>
  </x:sheetData>
  <x:mergeCells>
    <x:mergeCell ref="A1:N2"/>
    <x:mergeCell ref="A3:N3"/>
  </x:mergeCells>
  <x:conditionalFormatting sqref="L5:L24">
    <x:cfRule type="colorScale" priority="1">
      <x:colorScale>
        <x:cfvo type="min"/>
        <x:cfvo type="percentile" val="50"/>
        <x:cfvo type="max"/>
        <x:color rgb="FFFDE8E8"/>
        <x:color rgb="FFFFF3D6"/>
        <x:color rgb="FFE4F5EC"/>
      </x:colorScale>
    </x:cfRule>
  </x:conditionalFormatting>
  <x:dataValidations count="5">
    <x:dataValidation type="list" sqref="B5:B24">
      <x:formula1>"效果前置,痛点前置,价格利益,悬念提问,人群点名,参数介绍,故事场景,其他,未知"</x:formula1>
    </x:dataValidation>
    <x:dataValidation type="list" sqref="F5:F24">
      <x:formula1>"购买引导,优惠引导,评论互动,关注引导,私信引导,无 CTA,其他"</x:formula1>
    </x:dataValidation>
    <x:dataValidation type="list" sqref="H5:K24">
      <x:formula1>"是,否,未知"</x:formula1>
    </x:dataValidation>
    <x:dataValidation type="list" sqref="M5:M24">
      <x:formula1>"高,中,低"</x:formula1>
    </x:dataValidation>
    <x:dataValidation type="list" sqref="N5:N24">
      <x:formula1>"待确认,已确认,需修正"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254d2090530477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109999656677246" hidden="0" customWidth="1"/>
    <x:col min="2" max="2" width="13.890000343322754" hidden="0" customWidth="1"/>
    <x:col min="3" max="3" width="12.779999732971191" hidden="0" customWidth="1"/>
    <x:col min="4" max="4" width="26.670000076293945" hidden="0" customWidth="1"/>
    <x:col min="5" max="5" width="25.559999465942383" hidden="0" customWidth="1"/>
    <x:col min="6" max="6" width="27.219999313354492" hidden="0" customWidth="1"/>
  </x:cols>
  <x:sheetData>
    <x:row r="1" ht="52" customHeight="1">
      <x:c r="A1" s="4" t="str">
        <x:v>CreatorLens V1 标签字典
固定枚举、判断标准与边界规则；模型输出枚举必须来自本表</x:v>
      </x:c>
      <x:c r="B1" s="4"/>
      <x:c r="C1" s="4"/>
      <x:c r="D1" s="4"/>
      <x:c r="E1" s="4"/>
      <x:c r="F1" s="4"/>
    </x:row>
    <x:row r="2" ht="52" customHeight="1">
      <x:c r="A2" s="4"/>
      <x:c r="B2" s="4"/>
      <x:c r="C2" s="4"/>
      <x:c r="D2" s="4"/>
      <x:c r="E2" s="4"/>
      <x:c r="F2" s="4"/>
    </x:row>
    <x:row r="3">
      <x:c r="A3" s="190" t="str">
        <x:v>Prompt 规则：无法判断时输出 unknown/未知；不得根据视频链接、常识或商品宣传补写输入中不存在的画面与功效。</x:v>
      </x:c>
      <x:c r="B3" s="190"/>
      <x:c r="C3" s="190"/>
      <x:c r="D3" s="190"/>
      <x:c r="E3" s="190"/>
      <x:c r="F3" s="190"/>
    </x:row>
    <x:row r="4" ht="48" customHeight="1">
      <x:c r="A4" s="16" t="str">
        <x:v>标签维度</x:v>
      </x:c>
      <x:c r="B4" s="80" t="str">
        <x:v>字段名</x:v>
      </x:c>
      <x:c r="C4" s="80" t="str">
        <x:v>枚举值</x:v>
      </x:c>
      <x:c r="D4" s="80" t="str">
        <x:v>定义</x:v>
      </x:c>
      <x:c r="E4" s="80" t="str">
        <x:v>正向判断</x:v>
      </x:c>
      <x:c r="F4" s="17" t="str">
        <x:v>边界/禁止事项</x:v>
      </x:c>
    </x:row>
    <x:row r="5" ht="28" customHeight="1">
      <x:c r="A5" s="160" t="str">
        <x:v>Hook 类型</x:v>
      </x:c>
      <x:c r="B5" s="85" t="str">
        <x:v>hook_type</x:v>
      </x:c>
      <x:c r="C5" s="166" t="str">
        <x:v>效果前置</x:v>
      </x:c>
      <x:c r="D5" s="154" t="str">
        <x:v>前 3—5 秒直接展示产品效果、成品或使用结果。</x:v>
      </x:c>
      <x:c r="E5" s="154" t="str">
        <x:v>输入开头出现可观察结果。</x:v>
      </x:c>
      <x:c r="F5" s="154" t="str">
        <x:v>仅说“效果很好”但无具体结果时不要标记。</x:v>
      </x:c>
    </x:row>
    <x:row r="6" ht="28" customHeight="1">
      <x:c r="A6" s="161" t="str">
        <x:v>Hook 类型</x:v>
      </x:c>
      <x:c r="B6" s="86" t="str">
        <x:v>hook_type</x:v>
      </x:c>
      <x:c r="C6" s="167" t="str">
        <x:v>痛点前置</x:v>
      </x:c>
      <x:c r="D6" s="155" t="str">
        <x:v>先指出用户问题、不便或未满足需求。</x:v>
      </x:c>
      <x:c r="E6" s="155" t="str">
        <x:v>以困扰、失败或麻烦开场。</x:v>
      </x:c>
      <x:c r="F6" s="155" t="str">
        <x:v>人群点名但没有具体问题时不算痛点。</x:v>
      </x:c>
    </x:row>
    <x:row r="7" ht="28" customHeight="1">
      <x:c r="A7" s="161" t="str">
        <x:v>Hook 类型</x:v>
      </x:c>
      <x:c r="B7" s="86" t="str">
        <x:v>hook_type</x:v>
      </x:c>
      <x:c r="C7" s="167" t="str">
        <x:v>价格利益</x:v>
      </x:c>
      <x:c r="D7" s="155" t="str">
        <x:v>先展示价格、折扣、赠品或省钱利益。</x:v>
      </x:c>
      <x:c r="E7" s="155" t="str">
        <x:v>价格或优惠是开场核心信息。</x:v>
      </x:c>
      <x:c r="F7" s="155" t="str">
        <x:v>价格只在结尾 CTA 出现时不算此 Hook。</x:v>
      </x:c>
    </x:row>
    <x:row r="8" ht="28" customHeight="1">
      <x:c r="A8" s="161" t="str">
        <x:v>Hook 类型</x:v>
      </x:c>
      <x:c r="B8" s="86" t="str">
        <x:v>hook_type</x:v>
      </x:c>
      <x:c r="C8" s="167" t="str">
        <x:v>悬念提问</x:v>
      </x:c>
      <x:c r="D8" s="155" t="str">
        <x:v>用问题、未知结果或信息差制造继续观看动机。</x:v>
      </x:c>
      <x:c r="E8" s="155" t="str">
        <x:v>问题答案未立即给出。</x:v>
      </x:c>
      <x:c r="F8" s="155" t="str">
        <x:v>普通反问且直接进入卖点，可按痛点判断。</x:v>
      </x:c>
    </x:row>
    <x:row r="9" ht="28" customHeight="1">
      <x:c r="A9" s="161" t="str">
        <x:v>Hook 类型</x:v>
      </x:c>
      <x:c r="B9" s="86" t="str">
        <x:v>hook_type</x:v>
      </x:c>
      <x:c r="C9" s="167" t="str">
        <x:v>人群点名</x:v>
      </x:c>
      <x:c r="D9" s="155" t="str">
        <x:v>直接叫出目标人群、身份或生活状态。</x:v>
      </x:c>
      <x:c r="E9" s="155" t="str">
        <x:v>“上班族/学生/宝妈看这里”等。</x:v>
      </x:c>
      <x:c r="F9" s="155" t="str">
        <x:v>仅在中段提及目标人群不算 Hook。</x:v>
      </x:c>
    </x:row>
    <x:row r="10" ht="28" customHeight="1">
      <x:c r="A10" s="161" t="str">
        <x:v>Hook 类型</x:v>
      </x:c>
      <x:c r="B10" s="86" t="str">
        <x:v>hook_type</x:v>
      </x:c>
      <x:c r="C10" s="167" t="str">
        <x:v>参数介绍</x:v>
      </x:c>
      <x:c r="D10" s="155" t="str">
        <x:v>以容量、功率、材质、结构等参数开场。</x:v>
      </x:c>
      <x:c r="E10" s="155" t="str">
        <x:v>参数是首个主要信息。</x:v>
      </x:c>
      <x:c r="F10" s="155" t="str">
        <x:v>用参数证明效果但效果先出现，优先效果前置。</x:v>
      </x:c>
    </x:row>
    <x:row r="11" ht="28" customHeight="1">
      <x:c r="A11" s="161" t="str">
        <x:v>Hook 类型</x:v>
      </x:c>
      <x:c r="B11" s="86" t="str">
        <x:v>hook_type</x:v>
      </x:c>
      <x:c r="C11" s="167" t="str">
        <x:v>故事场景</x:v>
      </x:c>
      <x:c r="D11" s="155" t="str">
        <x:v>以人物经历、情境或事件叙述开场。</x:v>
      </x:c>
      <x:c r="E11" s="155" t="str">
        <x:v>有时间、人物、事件推进。</x:v>
      </x:c>
      <x:c r="F11" s="155" t="str">
        <x:v>单纯描述使用地点优先人群/场景节点。</x:v>
      </x:c>
    </x:row>
    <x:row r="12" ht="28" customHeight="1">
      <x:c r="A12" s="161" t="str">
        <x:v>Hook 类型</x:v>
      </x:c>
      <x:c r="B12" s="86" t="str">
        <x:v>hook_type</x:v>
      </x:c>
      <x:c r="C12" s="167" t="str">
        <x:v>其他</x:v>
      </x:c>
      <x:c r="D12" s="155" t="str">
        <x:v>可识别但不属于现有七类。</x:v>
      </x:c>
      <x:c r="E12" s="155" t="str">
        <x:v>必须填写简短备注。</x:v>
      </x:c>
      <x:c r="F12" s="155" t="str">
        <x:v>不要用“其他”代替犹豫判断。</x:v>
      </x:c>
    </x:row>
    <x:row r="13" ht="28" customHeight="1">
      <x:c r="A13" s="161" t="str">
        <x:v>Hook 类型</x:v>
      </x:c>
      <x:c r="B13" s="86" t="str">
        <x:v>hook_type</x:v>
      </x:c>
      <x:c r="C13" s="167" t="str">
        <x:v>未知</x:v>
      </x:c>
      <x:c r="D13" s="155" t="str">
        <x:v>输入不足或无法可靠判断。</x:v>
      </x:c>
      <x:c r="E13" s="155" t="str">
        <x:v>无标题/脚本/Hook，或证据互相冲突。</x:v>
      </x:c>
      <x:c r="F13" s="155" t="str">
        <x:v>模型不得补写画面。</x:v>
      </x:c>
    </x:row>
    <x:row r="14" ht="28" customHeight="1">
      <x:c r="A14" s="161" t="str">
        <x:v>结构节点</x:v>
      </x:c>
      <x:c r="B14" s="86" t="str">
        <x:v>content_structure</x:v>
      </x:c>
      <x:c r="C14" s="167" t="str">
        <x:v>效果展示</x:v>
      </x:c>
      <x:c r="D14" s="155" t="str">
        <x:v>展示成品、使用结果或前后变化。</x:v>
      </x:c>
      <x:c r="E14" s="155" t="str">
        <x:v>可由文字明确描述。</x:v>
      </x:c>
      <x:c r="F14" s="155" t="str">
        <x:v>不得根据链接或文件名推断。</x:v>
      </x:c>
    </x:row>
    <x:row r="15" ht="28" customHeight="1">
      <x:c r="A15" s="161" t="str">
        <x:v>结构节点</x:v>
      </x:c>
      <x:c r="B15" s="86" t="str">
        <x:v>content_structure</x:v>
      </x:c>
      <x:c r="C15" s="167" t="str">
        <x:v>痛点描述</x:v>
      </x:c>
      <x:c r="D15" s="155" t="str">
        <x:v>说明用户问题、成本或不便。</x:v>
      </x:c>
      <x:c r="E15" s="155" t="str">
        <x:v>与产品解决的问题直接相关。</x:v>
      </x:c>
      <x:c r="F15" s="155" t="str">
        <x:v>一般背景描述不算痛点。</x:v>
      </x:c>
    </x:row>
    <x:row r="16" ht="28" customHeight="1">
      <x:c r="A16" s="161" t="str">
        <x:v>结构节点</x:v>
      </x:c>
      <x:c r="B16" s="86" t="str">
        <x:v>content_structure</x:v>
      </x:c>
      <x:c r="C16" s="167" t="str">
        <x:v>人群/场景</x:v>
      </x:c>
      <x:c r="D16" s="155" t="str">
        <x:v>明确目标人群或使用环境。</x:v>
      </x:c>
      <x:c r="E16" s="155" t="str">
        <x:v>如通勤、宿舍、健身后。</x:v>
      </x:c>
      <x:c r="F16" s="155" t="str">
        <x:v>抽象“日常使用”信息量不足。</x:v>
      </x:c>
    </x:row>
    <x:row r="17" ht="28" customHeight="1">
      <x:c r="A17" s="161" t="str">
        <x:v>结构节点</x:v>
      </x:c>
      <x:c r="B17" s="86" t="str">
        <x:v>content_structure</x:v>
      </x:c>
      <x:c r="C17" s="167" t="str">
        <x:v>产品介绍</x:v>
      </x:c>
      <x:c r="D17" s="155" t="str">
        <x:v>说明产品是什么、怎么用或有哪些组成。</x:v>
      </x:c>
      <x:c r="E17" s="155" t="str">
        <x:v>名称、操作、组件均可。</x:v>
      </x:c>
      <x:c r="F17" s="155" t="str">
        <x:v>纯效果镜头不等于产品介绍。</x:v>
      </x:c>
    </x:row>
    <x:row r="18" ht="28" customHeight="1">
      <x:c r="A18" s="161" t="str">
        <x:v>结构节点</x:v>
      </x:c>
      <x:c r="B18" s="86" t="str">
        <x:v>content_structure</x:v>
      </x:c>
      <x:c r="C18" s="167" t="str">
        <x:v>卖点证明</x:v>
      </x:c>
      <x:c r="D18" s="155" t="str">
        <x:v>用演示、对比、参数或过程支持卖点。</x:v>
      </x:c>
      <x:c r="E18" s="155" t="str">
        <x:v>必须存在可核对的证明方式。</x:v>
      </x:c>
      <x:c r="F18" s="155" t="str">
        <x:v>没有依据的形容词不算证明。</x:v>
      </x:c>
    </x:row>
    <x:row r="19" ht="28" customHeight="1">
      <x:c r="A19" s="161" t="str">
        <x:v>结构节点</x:v>
      </x:c>
      <x:c r="B19" s="86" t="str">
        <x:v>content_structure</x:v>
      </x:c>
      <x:c r="C19" s="167" t="str">
        <x:v>价格优惠</x:v>
      </x:c>
      <x:c r="D19" s="155" t="str">
        <x:v>价格、券、折扣、赠品或期限。</x:v>
      </x:c>
      <x:c r="E19" s="155" t="str">
        <x:v>出现明确利益或优惠动作。</x:v>
      </x:c>
      <x:c r="F19" s="155" t="str">
        <x:v>泛称“很划算”但无信息时谨慎。</x:v>
      </x:c>
    </x:row>
    <x:row r="20" ht="28" customHeight="1">
      <x:c r="A20" s="161" t="str">
        <x:v>结构节点</x:v>
      </x:c>
      <x:c r="B20" s="86" t="str">
        <x:v>content_structure</x:v>
      </x:c>
      <x:c r="C20" s="167" t="str">
        <x:v>社会证明</x:v>
      </x:c>
      <x:c r="D20" s="155" t="str">
        <x:v>评价、销量、达人/用户案例等第三方证明。</x:v>
      </x:c>
      <x:c r="E20" s="155" t="str">
        <x:v>输入中必须明确来源。</x:v>
      </x:c>
      <x:c r="F20" s="155" t="str">
        <x:v>不得虚构销量或用户反馈。</x:v>
      </x:c>
    </x:row>
    <x:row r="21" ht="28" customHeight="1">
      <x:c r="A21" s="161" t="str">
        <x:v>结构节点</x:v>
      </x:c>
      <x:c r="B21" s="86" t="str">
        <x:v>content_structure</x:v>
      </x:c>
      <x:c r="C21" s="167" t="str">
        <x:v>行动引导</x:v>
      </x:c>
      <x:c r="D21" s="155" t="str">
        <x:v>引导点击、购买、评论、关注或私信。</x:v>
      </x:c>
      <x:c r="E21" s="155" t="str">
        <x:v>通常位于结尾，也可在中段。</x:v>
      </x:c>
      <x:c r="F21" s="155" t="str">
        <x:v>仅介绍商品页信息但无动作词不算。</x:v>
      </x:c>
    </x:row>
    <x:row r="22" ht="28" customHeight="1">
      <x:c r="A22" s="161" t="str">
        <x:v>CTA 类型</x:v>
      </x:c>
      <x:c r="B22" s="86" t="str">
        <x:v>cta_type</x:v>
      </x:c>
      <x:c r="C22" s="167" t="str">
        <x:v>购买引导</x:v>
      </x:c>
      <x:c r="D22" s="155" t="str">
        <x:v>明确引导点击商品、查看详情或购买。</x:v>
      </x:c>
      <x:c r="E22" s="155" t="str">
        <x:v>点击商品页/立即购买。</x:v>
      </x:c>
      <x:c r="F22" s="155" t="str">
        <x:v>仅提到商品存在不算 CTA。</x:v>
      </x:c>
    </x:row>
    <x:row r="23" ht="28" customHeight="1">
      <x:c r="A23" s="161" t="str">
        <x:v>CTA 类型</x:v>
      </x:c>
      <x:c r="B23" s="86" t="str">
        <x:v>cta_type</x:v>
      </x:c>
      <x:c r="C23" s="167" t="str">
        <x:v>优惠引导</x:v>
      </x:c>
      <x:c r="D23" s="155" t="str">
        <x:v>以领券、限时折扣、满减促成行动。</x:v>
      </x:c>
      <x:c r="E23" s="155" t="str">
        <x:v>优惠动作是 CTA 核心。</x:v>
      </x:c>
      <x:c r="F23" s="155" t="str">
        <x:v>若只有价格无行动词，可仅标价格优惠节点。</x:v>
      </x:c>
    </x:row>
    <x:row r="24" ht="28" customHeight="1">
      <x:c r="A24" s="161" t="str">
        <x:v>CTA 类型</x:v>
      </x:c>
      <x:c r="B24" s="86" t="str">
        <x:v>cta_type</x:v>
      </x:c>
      <x:c r="C24" s="167" t="str">
        <x:v>评论互动</x:v>
      </x:c>
      <x:c r="D24" s="155" t="str">
        <x:v>引导留言、回复关键词或参与讨论。</x:v>
      </x:c>
      <x:c r="E24" s="155" t="str">
        <x:v>评论/留言/回复。</x:v>
      </x:c>
      <x:c r="F24" s="155" t="str">
        <x:v>普通提问但未邀请回应不算。</x:v>
      </x:c>
    </x:row>
    <x:row r="25" ht="28" customHeight="1">
      <x:c r="A25" s="161" t="str">
        <x:v>CTA 类型</x:v>
      </x:c>
      <x:c r="B25" s="86" t="str">
        <x:v>cta_type</x:v>
      </x:c>
      <x:c r="C25" s="167" t="str">
        <x:v>关注引导</x:v>
      </x:c>
      <x:c r="D25" s="155" t="str">
        <x:v>引导关注账号以获得后续内容。</x:v>
      </x:c>
      <x:c r="E25" s="155" t="str">
        <x:v>关注我/关注后查看。</x:v>
      </x:c>
      <x:c r="F25" s="155" t="str">
        <x:v>“下期见”不一定是关注 CTA。</x:v>
      </x:c>
    </x:row>
    <x:row r="26" ht="28" customHeight="1">
      <x:c r="A26" s="161" t="str">
        <x:v>CTA 类型</x:v>
      </x:c>
      <x:c r="B26" s="86" t="str">
        <x:v>cta_type</x:v>
      </x:c>
      <x:c r="C26" s="167" t="str">
        <x:v>私信引导</x:v>
      </x:c>
      <x:c r="D26" s="155" t="str">
        <x:v>引导通过私信获取信息或服务。</x:v>
      </x:c>
      <x:c r="E26" s="155" t="str">
        <x:v>私信关键词/私聊。</x:v>
      </x:c>
      <x:c r="F26" s="155" t="str">
        <x:v>评论关键词属于评论互动。</x:v>
      </x:c>
    </x:row>
    <x:row r="27" ht="28" customHeight="1">
      <x:c r="A27" s="161" t="str">
        <x:v>CTA 类型</x:v>
      </x:c>
      <x:c r="B27" s="86" t="str">
        <x:v>cta_type</x:v>
      </x:c>
      <x:c r="C27" s="167" t="str">
        <x:v>无 CTA</x:v>
      </x:c>
      <x:c r="D27" s="155" t="str">
        <x:v>没有任何明确行动引导。</x:v>
      </x:c>
      <x:c r="E27" s="155" t="str">
        <x:v>完整文本中无动作号召。</x:v>
      </x:c>
      <x:c r="F27" s="155" t="str">
        <x:v>不能因为常见电商视频有 CTA 就推断。</x:v>
      </x:c>
    </x:row>
    <x:row r="28" ht="28" customHeight="1">
      <x:c r="A28" s="161" t="str">
        <x:v>CTA 类型</x:v>
      </x:c>
      <x:c r="B28" s="86" t="str">
        <x:v>cta_type</x:v>
      </x:c>
      <x:c r="C28" s="167" t="str">
        <x:v>其他</x:v>
      </x:c>
      <x:c r="D28" s="155" t="str">
        <x:v>存在行动引导但不属于现有类型。</x:v>
      </x:c>
      <x:c r="E28" s="155" t="str">
        <x:v>需记录原始动作。</x:v>
      </x:c>
      <x:c r="F28" s="155" t="str">
        <x:v>优先使用已有枚举。</x:v>
      </x:c>
    </x:row>
    <x:row r="29" ht="28" customHeight="1">
      <x:c r="A29" s="161" t="str">
        <x:v>人物/画面</x:v>
      </x:c>
      <x:c r="B29" s="86" t="str">
        <x:v>visual_flag</x:v>
      </x:c>
      <x:c r="C29" s="167" t="str">
        <x:v>人物出镜</x:v>
      </x:c>
      <x:c r="D29" s="155" t="str">
        <x:v>文本明确说明真人/手部/口播人物出现。</x:v>
      </x:c>
      <x:c r="E29" s="155" t="str">
        <x:v>来自脚本说明或人工字段。</x:v>
      </x:c>
      <x:c r="F29" s="155" t="str">
        <x:v>V1 不从视频链接猜测。</x:v>
      </x:c>
    </x:row>
    <x:row r="30" ht="28" customHeight="1">
      <x:c r="A30" s="161" t="str">
        <x:v>人物/画面</x:v>
      </x:c>
      <x:c r="B30" s="86" t="str">
        <x:v>visual_flag</x:v>
      </x:c>
      <x:c r="C30" s="167" t="str">
        <x:v>使用场景</x:v>
      </x:c>
      <x:c r="D30" s="155" t="str">
        <x:v>明确展示产品在具体场景中使用。</x:v>
      </x:c>
      <x:c r="E30" s="155" t="str">
        <x:v>通勤、办公室、宿舍、厨房等。</x:v>
      </x:c>
      <x:c r="F30" s="155" t="str">
        <x:v>抽象人群描述不自动等于场景展示。</x:v>
      </x:c>
    </x:row>
    <x:row r="31" ht="28" customHeight="1">
      <x:c r="A31" s="161" t="str">
        <x:v>人物/画面</x:v>
      </x:c>
      <x:c r="B31" s="86" t="str">
        <x:v>visual_flag</x:v>
      </x:c>
      <x:c r="C31" s="167" t="str">
        <x:v>产品特写</x:v>
      </x:c>
      <x:c r="D31" s="155" t="str">
        <x:v>明确近景展示产品、部件或操作。</x:v>
      </x:c>
      <x:c r="E31" s="155" t="str">
        <x:v>特写/近距离/局部。</x:v>
      </x:c>
      <x:c r="F31" s="155" t="str">
        <x:v>仅提到产品名称不算。</x:v>
      </x:c>
    </x:row>
    <x:row r="32" ht="28" customHeight="1">
      <x:c r="A32" s="161" t="str">
        <x:v>人物/画面</x:v>
      </x:c>
      <x:c r="B32" s="86" t="str">
        <x:v>visual_flag</x:v>
      </x:c>
      <x:c r="C32" s="167" t="str">
        <x:v>前后对比</x:v>
      </x:c>
      <x:c r="D32" s="155" t="str">
        <x:v>同一对象使用前后或 A/B 状态对比。</x:v>
      </x:c>
      <x:c r="E32" s="155" t="str">
        <x:v>可观察到两个状态。</x:v>
      </x:c>
      <x:c r="F32" s="155" t="str">
        <x:v>并列展示两个产品不一定是前后对比。</x:v>
      </x:c>
    </x:row>
    <x:row r="33" ht="28" customHeight="1">
      <x:c r="A33" s="161" t="str">
        <x:v>人物/画面</x:v>
      </x:c>
      <x:c r="B33" s="86" t="str">
        <x:v>visual_flag</x:v>
      </x:c>
      <x:c r="C33" s="167" t="str">
        <x:v>字幕重点</x:v>
      </x:c>
      <x:c r="D33" s="155" t="str">
        <x:v>脚本明确要求重点字幕、数字或关键词。</x:v>
      </x:c>
      <x:c r="E33" s="155" t="str">
        <x:v>属于可选人工/AI标签。</x:v>
      </x:c>
      <x:c r="F33" s="155" t="str">
        <x:v>普通口播转写不自动视为重点字幕。</x:v>
      </x:c>
    </x:row>
    <x:row r="34" ht="28" customHeight="1">
      <x:c r="A34" s="161" t="str">
        <x:v>人物/画面</x:v>
      </x:c>
      <x:c r="B34" s="86" t="str">
        <x:v>visual_flag</x:v>
      </x:c>
      <x:c r="C34" s="167" t="str">
        <x:v>未知</x:v>
      </x:c>
      <x:c r="D34" s="155" t="str">
        <x:v>文本与人工字段都不足。</x:v>
      </x:c>
      <x:c r="E34" s="155" t="str">
        <x:v>无法确认即 unknown。</x:v>
      </x:c>
      <x:c r="F34" s="155" t="str">
        <x:v>禁止默认填“否”。</x:v>
      </x:c>
    </x:row>
    <x:row r="35" ht="28" customHeight="1">
      <x:c r="A35" s="161" t="str">
        <x:v>时长区间</x:v>
      </x:c>
      <x:c r="B35" s="86" t="str">
        <x:v>duration_band</x:v>
      </x:c>
      <x:c r="C35" s="167" t="str">
        <x:v>≤10 秒</x:v>
      </x:c>
      <x:c r="D35" s="155" t="str">
        <x:v>duration_seconds 小于或等于 10。</x:v>
      </x:c>
      <x:c r="E35" s="155" t="str">
        <x:v>由代码计算。</x:v>
      </x:c>
      <x:c r="F35" s="155" t="str">
        <x:v>边界 10 秒归入本组。</x:v>
      </x:c>
    </x:row>
    <x:row r="36" ht="28" customHeight="1">
      <x:c r="A36" s="161" t="str">
        <x:v>时长区间</x:v>
      </x:c>
      <x:c r="B36" s="86" t="str">
        <x:v>duration_band</x:v>
      </x:c>
      <x:c r="C36" s="167" t="str">
        <x:v>11—20 秒</x:v>
      </x:c>
      <x:c r="D36" s="155" t="str">
        <x:v>duration_seconds 为 11 至 20。</x:v>
      </x:c>
      <x:c r="E36" s="155" t="str">
        <x:v>由代码计算。</x:v>
      </x:c>
      <x:c r="F36" s="155" t="str">
        <x:v>边界 20 秒归入本组。</x:v>
      </x:c>
    </x:row>
    <x:row r="37" ht="28" customHeight="1">
      <x:c r="A37" s="161" t="str">
        <x:v>时长区间</x:v>
      </x:c>
      <x:c r="B37" s="86" t="str">
        <x:v>duration_band</x:v>
      </x:c>
      <x:c r="C37" s="167" t="str">
        <x:v>21—30 秒</x:v>
      </x:c>
      <x:c r="D37" s="155" t="str">
        <x:v>duration_seconds 为 21 至 30。</x:v>
      </x:c>
      <x:c r="E37" s="155" t="str">
        <x:v>由代码计算。</x:v>
      </x:c>
      <x:c r="F37" s="155" t="str">
        <x:v>边界 30 秒归入本组。</x:v>
      </x:c>
    </x:row>
    <x:row r="38" ht="28" customHeight="1">
      <x:c r="A38" s="161" t="str">
        <x:v>时长区间</x:v>
      </x:c>
      <x:c r="B38" s="86" t="str">
        <x:v>duration_band</x:v>
      </x:c>
      <x:c r="C38" s="167" t="str">
        <x:v>&gt;30 秒</x:v>
      </x:c>
      <x:c r="D38" s="155" t="str">
        <x:v>duration_seconds 大于 30。</x:v>
      </x:c>
      <x:c r="E38" s="155" t="str">
        <x:v>由代码计算。</x:v>
      </x:c>
      <x:c r="F38" s="155" t="str">
        <x:v>缺失时输出空值，不推断。</x:v>
      </x:c>
    </x:row>
    <x:row r="39" ht="28" customHeight="1">
      <x:c r="A39" s="161" t="str">
        <x:v>置信度</x:v>
      </x:c>
      <x:c r="B39" s="86" t="str">
        <x:v>confidence_level</x:v>
      </x:c>
      <x:c r="C39" s="167" t="str">
        <x:v>高</x:v>
      </x:c>
      <x:c r="D39" s="155" t="str">
        <x:v>label_confidence ≥ 0.80。</x:v>
      </x:c>
      <x:c r="E39" s="155" t="str">
        <x:v>证据明确、单一且可核对。</x:v>
      </x:c>
      <x:c r="F39" s="155" t="str">
        <x:v>仍允许人工修正。</x:v>
      </x:c>
    </x:row>
    <x:row r="40" ht="28" customHeight="1">
      <x:c r="A40" s="161" t="str">
        <x:v>置信度</x:v>
      </x:c>
      <x:c r="B40" s="86" t="str">
        <x:v>confidence_level</x:v>
      </x:c>
      <x:c r="C40" s="167" t="str">
        <x:v>中</x:v>
      </x:c>
      <x:c r="D40" s="155" t="str">
        <x:v>0.60 ≤ label_confidence &lt; 0.80。</x:v>
      </x:c>
      <x:c r="E40" s="155" t="str">
        <x:v>存在一定歧义。</x:v>
      </x:c>
      <x:c r="F40" s="155" t="str">
        <x:v>建议用户快速确认。</x:v>
      </x:c>
    </x:row>
    <x:row r="41" ht="28" customHeight="1">
      <x:c r="A41" s="162" t="str">
        <x:v>置信度</x:v>
      </x:c>
      <x:c r="B41" s="87" t="str">
        <x:v>confidence_level</x:v>
      </x:c>
      <x:c r="C41" s="168" t="str">
        <x:v>低</x:v>
      </x:c>
      <x:c r="D41" s="156" t="str">
        <x:v>label_confidence &lt; 0.60。</x:v>
      </x:c>
      <x:c r="E41" s="156" t="str">
        <x:v>证据不足或冲突。</x:v>
      </x:c>
      <x:c r="F41" s="156" t="str">
        <x:v>默认进入待确认。</x:v>
      </x:c>
    </x:row>
  </x:sheetData>
  <x:mergeCells>
    <x:mergeCell ref="A1:F2"/>
    <x:mergeCell ref="A3:F3"/>
  </x:mergeCells>
  <x:pageMargins left="0.7" right="0.7" top="0.75" bottom="0.75" header="0.3" footer="0.3"/>
  <x:tableParts count="1">
    <x:tablePart xmlns:r="http://schemas.openxmlformats.org/officeDocument/2006/relationships" r:id="Rbb3fe92c1e374d8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890000343322754" hidden="0" customWidth="1"/>
    <x:col min="2" max="2" width="18.889999389648438" hidden="0" customWidth="1"/>
    <x:col min="3" max="3" width="14.4399995803833" hidden="0" customWidth="1"/>
    <x:col min="4" max="4" width="9.4399995803833" hidden="0" customWidth="1"/>
    <x:col min="5" max="5" width="9.4399995803833" hidden="0" customWidth="1"/>
    <x:col min="6" max="6" width="10" hidden="0" customWidth="1"/>
    <x:col min="7" max="7" width="25.559999465942383" hidden="0" customWidth="1"/>
    <x:col min="8" max="8" width="17.780000686645508" hidden="0" customWidth="1"/>
    <x:col min="9" max="9" width="25.559999465942383" hidden="0" customWidth="1"/>
    <x:col min="10" max="10" width="13.329999923706055" hidden="0" customWidth="1"/>
  </x:cols>
  <x:sheetData>
    <x:row r="1" ht="52" customHeight="1">
      <x:c r="A1" s="4" t="str">
        <x:v>CreatorLens 数据字段字典
开发、导入映射、校验与指标计算的统一口径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52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3">
      <x:c r="A3" s="191" t="str">
        <x:v>字段冻结规则：英文字段名是前后端接口契约；新增字段须先明确来源、类型、校验、使用节点与缺失时降级策略。</x:v>
      </x:c>
      <x:c r="B3" s="191"/>
      <x:c r="C3" s="191"/>
      <x:c r="D3" s="191"/>
      <x:c r="E3" s="191"/>
      <x:c r="F3" s="191"/>
      <x:c r="G3" s="191"/>
      <x:c r="H3" s="191"/>
      <x:c r="I3" s="191"/>
      <x:c r="J3" s="191"/>
    </x:row>
    <x:row r="4" ht="48" customHeight="1">
      <x:c r="A4" s="74" t="str">
        <x:v>字段组</x:v>
      </x:c>
      <x:c r="B4" s="75" t="str">
        <x:v>字段名</x:v>
      </x:c>
      <x:c r="C4" s="75" t="str">
        <x:v>中文名</x:v>
      </x:c>
      <x:c r="D4" s="75" t="str">
        <x:v>必填</x:v>
      </x:c>
      <x:c r="E4" s="75" t="str">
        <x:v>数据类型</x:v>
      </x:c>
      <x:c r="F4" s="75" t="str">
        <x:v>来源</x:v>
      </x:c>
      <x:c r="G4" s="75" t="str">
        <x:v>校验/枚举</x:v>
      </x:c>
      <x:c r="H4" s="75" t="str">
        <x:v>示例</x:v>
      </x:c>
      <x:c r="I4" s="75" t="str">
        <x:v>说明</x:v>
      </x:c>
      <x:c r="J4" s="76" t="str">
        <x:v>使用节点</x:v>
      </x:c>
    </x:row>
    <x:row r="5" ht="28" customHeight="1">
      <x:c r="A5" s="160" t="str">
        <x:v>标识</x:v>
      </x:c>
      <x:c r="B5" s="85" t="str">
        <x:v>video_id</x:v>
      </x:c>
      <x:c r="C5" s="85" t="str">
        <x:v>视频ID</x:v>
      </x:c>
      <x:c r="D5" s="85" t="str">
        <x:v>是</x:v>
      </x:c>
      <x:c r="E5" s="85" t="str">
        <x:v>文本</x:v>
      </x:c>
      <x:c r="F5" s="85" t="str">
        <x:v>用户</x:v>
      </x:c>
      <x:c r="G5" s="154" t="str">
        <x:v>唯一；不可为空</x:v>
      </x:c>
      <x:c r="H5" s="154" t="str">
        <x:v>V001</x:v>
      </x:c>
      <x:c r="I5" s="154" t="str">
        <x:v>用于去重、关联标签与报告</x:v>
      </x:c>
      <x:c r="J5" s="154" t="str">
        <x:v>清洗/全流程</x:v>
      </x:c>
    </x:row>
    <x:row r="6" ht="28" customHeight="1">
      <x:c r="A6" s="161" t="str">
        <x:v>标识</x:v>
      </x:c>
      <x:c r="B6" s="86" t="str">
        <x:v>publish_date</x:v>
      </x:c>
      <x:c r="C6" s="86" t="str">
        <x:v>发布日期</x:v>
      </x:c>
      <x:c r="D6" s="86" t="str">
        <x:v>否</x:v>
      </x:c>
      <x:c r="E6" s="86" t="str">
        <x:v>日期</x:v>
      </x:c>
      <x:c r="F6" s="86" t="str">
        <x:v>用户</x:v>
      </x:c>
      <x:c r="G6" s="155" t="str">
        <x:v>yyyy-mm-dd</x:v>
      </x:c>
      <x:c r="H6" s="155" t="str">
        <x:v>2026-07-20</x:v>
      </x:c>
      <x:c r="I6" s="155" t="str">
        <x:v>用于时间排序与趋势</x:v>
      </x:c>
      <x:c r="J6" s="155" t="str">
        <x:v>概览</x:v>
      </x:c>
    </x:row>
    <x:row r="7" ht="28" customHeight="1">
      <x:c r="A7" s="161" t="str">
        <x:v>商品</x:v>
      </x:c>
      <x:c r="B7" s="86" t="str">
        <x:v>product_name</x:v>
      </x:c>
      <x:c r="C7" s="86" t="str">
        <x:v>商品名称</x:v>
      </x:c>
      <x:c r="D7" s="86" t="str">
        <x:v>否</x:v>
      </x:c>
      <x:c r="E7" s="86" t="str">
        <x:v>文本</x:v>
      </x:c>
      <x:c r="F7" s="86" t="str">
        <x:v>用户</x:v>
      </x:c>
      <x:c r="G7" s="155" t="str">
        <x:v>同项目建议一致</x:v>
      </x:c>
      <x:c r="H7" s="155" t="str">
        <x:v>轻盈Go便携榨汁杯</x:v>
      </x:c>
      <x:c r="I7" s="155" t="str">
        <x:v>说明分析对象</x:v>
      </x:c>
      <x:c r="J7" s="155" t="str">
        <x:v>Prompt/Brief</x:v>
      </x:c>
    </x:row>
    <x:row r="8" ht="28" customHeight="1">
      <x:c r="A8" s="161" t="str">
        <x:v>商品</x:v>
      </x:c>
      <x:c r="B8" s="86" t="str">
        <x:v>category</x:v>
      </x:c>
      <x:c r="C8" s="86" t="str">
        <x:v>商品品类</x:v>
      </x:c>
      <x:c r="D8" s="86" t="str">
        <x:v>是</x:v>
      </x:c>
      <x:c r="E8" s="86" t="str">
        <x:v>文本</x:v>
      </x:c>
      <x:c r="F8" s="86" t="str">
        <x:v>用户</x:v>
      </x:c>
      <x:c r="G8" s="155" t="str">
        <x:v>不可为空</x:v>
      </x:c>
      <x:c r="H8" s="155" t="str">
        <x:v>小家电/便携榨汁杯</x:v>
      </x:c>
      <x:c r="I8" s="155" t="str">
        <x:v>用于可比性与 RAG 查询</x:v>
      </x:c>
      <x:c r="J8" s="155" t="str">
        <x:v>检索/分组</x:v>
      </x:c>
    </x:row>
    <x:row r="9" ht="28" customHeight="1">
      <x:c r="A9" s="161" t="str">
        <x:v>商品</x:v>
      </x:c>
      <x:c r="B9" s="86" t="str">
        <x:v>price_band</x:v>
      </x:c>
      <x:c r="C9" s="86" t="str">
        <x:v>价格带</x:v>
      </x:c>
      <x:c r="D9" s="86" t="str">
        <x:v>否</x:v>
      </x:c>
      <x:c r="E9" s="86" t="str">
        <x:v>枚举</x:v>
      </x:c>
      <x:c r="F9" s="86" t="str">
        <x:v>用户</x:v>
      </x:c>
      <x:c r="G9" s="155" t="str">
        <x:v>≤49元；50-99元；100-199元；200-499元；≥500元</x:v>
      </x:c>
      <x:c r="H9" s="155" t="str">
        <x:v>50-99元</x:v>
      </x:c>
      <x:c r="I9" s="155" t="str">
        <x:v>用于策略适配</x:v>
      </x:c>
      <x:c r="J9" s="155" t="str">
        <x:v>检索</x:v>
      </x:c>
    </x:row>
    <x:row r="10" ht="28" customHeight="1">
      <x:c r="A10" s="161" t="str">
        <x:v>商品</x:v>
      </x:c>
      <x:c r="B10" s="86" t="str">
        <x:v>target_audience</x:v>
      </x:c>
      <x:c r="C10" s="86" t="str">
        <x:v>目标人群</x:v>
      </x:c>
      <x:c r="D10" s="86" t="str">
        <x:v>否</x:v>
      </x:c>
      <x:c r="E10" s="86" t="str">
        <x:v>短文本</x:v>
      </x:c>
      <x:c r="F10" s="86" t="str">
        <x:v>用户/AI</x:v>
      </x:c>
      <x:c r="G10" s="155" t="str">
        <x:v>建议 2—10 字</x:v>
      </x:c>
      <x:c r="H10" s="155" t="str">
        <x:v>上班族</x:v>
      </x:c>
      <x:c r="I10" s="155" t="str">
        <x:v>提供商品上下文</x:v>
      </x:c>
      <x:c r="J10" s="155" t="str">
        <x:v>Prompt/Brief</x:v>
      </x:c>
    </x:row>
    <x:row r="11" ht="28" customHeight="1">
      <x:c r="A11" s="161" t="str">
        <x:v>内容</x:v>
      </x:c>
      <x:c r="B11" s="86" t="str">
        <x:v>title</x:v>
      </x:c>
      <x:c r="C11" s="86" t="str">
        <x:v>标题</x:v>
      </x:c>
      <x:c r="D11" s="86" t="str">
        <x:v>条件必填</x:v>
      </x:c>
      <x:c r="E11" s="86" t="str">
        <x:v>文本</x:v>
      </x:c>
      <x:c r="F11" s="86" t="str">
        <x:v>用户</x:v>
      </x:c>
      <x:c r="G11" s="155" t="str">
        <x:v>与脚本/hook 至少一项有值</x:v>
      </x:c>
      <x:c r="H11" s="155" t="str">
        <x:v>15秒打好果昔</x:v>
      </x:c>
      <x:c r="I11" s="155" t="str">
        <x:v>特征提取输入</x:v>
      </x:c>
      <x:c r="J11" s="155" t="str">
        <x:v>LLM</x:v>
      </x:c>
    </x:row>
    <x:row r="12" ht="28" customHeight="1">
      <x:c r="A12" s="161" t="str">
        <x:v>内容</x:v>
      </x:c>
      <x:c r="B12" s="86" t="str">
        <x:v>script_or_subtitle</x:v>
      </x:c>
      <x:c r="C12" s="86" t="str">
        <x:v>脚本或字幕</x:v>
      </x:c>
      <x:c r="D12" s="86" t="str">
        <x:v>条件必填</x:v>
      </x:c>
      <x:c r="E12" s="86" t="str">
        <x:v>长文本</x:v>
      </x:c>
      <x:c r="F12" s="86" t="str">
        <x:v>用户</x:v>
      </x:c>
      <x:c r="G12" s="155" t="str">
        <x:v>与标题/hook 至少一项有值</x:v>
      </x:c>
      <x:c r="H12" s="155" t="str">
        <x:v>完整转写文本</x:v>
      </x:c>
      <x:c r="I12" s="155" t="str">
        <x:v>主要语义输入</x:v>
      </x:c>
      <x:c r="J12" s="155" t="str">
        <x:v>LLM</x:v>
      </x:c>
    </x:row>
    <x:row r="13" ht="28" customHeight="1">
      <x:c r="A13" s="161" t="str">
        <x:v>内容</x:v>
      </x:c>
      <x:c r="B13" s="86" t="str">
        <x:v>hook_text</x:v>
      </x:c>
      <x:c r="C13" s="86" t="str">
        <x:v>前 3—5 秒文案</x:v>
      </x:c>
      <x:c r="D13" s="86" t="str">
        <x:v>条件必填</x:v>
      </x:c>
      <x:c r="E13" s="86" t="str">
        <x:v>文本</x:v>
      </x:c>
      <x:c r="F13" s="86" t="str">
        <x:v>用户</x:v>
      </x:c>
      <x:c r="G13" s="155" t="str">
        <x:v>与标题/脚本至少一项有值</x:v>
      </x:c>
      <x:c r="H13" s="155" t="str">
        <x:v>15秒，一杯果昔完成</x:v>
      </x:c>
      <x:c r="I13" s="155" t="str">
        <x:v>Hook 主要证据</x:v>
      </x:c>
      <x:c r="J13" s="155" t="str">
        <x:v>LLM</x:v>
      </x:c>
    </x:row>
    <x:row r="14" ht="28" customHeight="1">
      <x:c r="A14" s="161" t="str">
        <x:v>内容</x:v>
      </x:c>
      <x:c r="B14" s="86" t="str">
        <x:v>duration_seconds</x:v>
      </x:c>
      <x:c r="C14" s="86" t="str">
        <x:v>视频时长（秒）</x:v>
      </x:c>
      <x:c r="D14" s="86" t="str">
        <x:v>否</x:v>
      </x:c>
      <x:c r="E14" s="86" t="str">
        <x:v>整数</x:v>
      </x:c>
      <x:c r="F14" s="86" t="str">
        <x:v>用户</x:v>
      </x:c>
      <x:c r="G14" s="155" t="str">
        <x:v>1—300</x:v>
      </x:c>
      <x:c r="H14" s="155" t="str">
        <x:v>18</x:v>
      </x:c>
      <x:c r="I14" s="155" t="str">
        <x:v>划分时长区间</x:v>
      </x:c>
      <x:c r="J14" s="155" t="str">
        <x:v>统计</x:v>
      </x:c>
    </x:row>
    <x:row r="15" ht="28" customHeight="1">
      <x:c r="A15" s="161" t="str">
        <x:v>人工标签</x:v>
      </x:c>
      <x:c r="B15" s="86" t="str">
        <x:v>person_on_camera</x:v>
      </x:c>
      <x:c r="C15" s="86" t="str">
        <x:v>人物出镜</x:v>
      </x:c>
      <x:c r="D15" s="86" t="str">
        <x:v>否</x:v>
      </x:c>
      <x:c r="E15" s="86" t="str">
        <x:v>枚举</x:v>
      </x:c>
      <x:c r="F15" s="86" t="str">
        <x:v>用户</x:v>
      </x:c>
      <x:c r="G15" s="155" t="str">
        <x:v>是；否；未知</x:v>
      </x:c>
      <x:c r="H15" s="155" t="str">
        <x:v>是</x:v>
      </x:c>
      <x:c r="I15" s="155" t="str">
        <x:v>V1 人工可补充</x:v>
      </x:c>
      <x:c r="J15" s="155" t="str">
        <x:v>分组</x:v>
      </x:c>
    </x:row>
    <x:row r="16" ht="28" customHeight="1">
      <x:c r="A16" s="161" t="str">
        <x:v>人工标签</x:v>
      </x:c>
      <x:c r="B16" s="86" t="str">
        <x:v>scene_demo</x:v>
      </x:c>
      <x:c r="C16" s="86" t="str">
        <x:v>使用场景</x:v>
      </x:c>
      <x:c r="D16" s="86" t="str">
        <x:v>否</x:v>
      </x:c>
      <x:c r="E16" s="86" t="str">
        <x:v>枚举</x:v>
      </x:c>
      <x:c r="F16" s="86" t="str">
        <x:v>用户</x:v>
      </x:c>
      <x:c r="G16" s="155" t="str">
        <x:v>是；否；未知</x:v>
      </x:c>
      <x:c r="H16" s="155" t="str">
        <x:v>是</x:v>
      </x:c>
      <x:c r="I16" s="155" t="str">
        <x:v>V1 人工可补充</x:v>
      </x:c>
      <x:c r="J16" s="155" t="str">
        <x:v>分组</x:v>
      </x:c>
    </x:row>
    <x:row r="17" ht="28" customHeight="1">
      <x:c r="A17" s="161" t="str">
        <x:v>人工标签</x:v>
      </x:c>
      <x:c r="B17" s="86" t="str">
        <x:v>product_closeup</x:v>
      </x:c>
      <x:c r="C17" s="86" t="str">
        <x:v>产品特写</x:v>
      </x:c>
      <x:c r="D17" s="86" t="str">
        <x:v>否</x:v>
      </x:c>
      <x:c r="E17" s="86" t="str">
        <x:v>枚举</x:v>
      </x:c>
      <x:c r="F17" s="86" t="str">
        <x:v>用户</x:v>
      </x:c>
      <x:c r="G17" s="155" t="str">
        <x:v>是；否；未知</x:v>
      </x:c>
      <x:c r="H17" s="155" t="str">
        <x:v>是</x:v>
      </x:c>
      <x:c r="I17" s="155" t="str">
        <x:v>V1 人工可补充</x:v>
      </x:c>
      <x:c r="J17" s="155" t="str">
        <x:v>分组</x:v>
      </x:c>
    </x:row>
    <x:row r="18" ht="28" customHeight="1">
      <x:c r="A18" s="161" t="str">
        <x:v>人工标签</x:v>
      </x:c>
      <x:c r="B18" s="86" t="str">
        <x:v>before_after</x:v>
      </x:c>
      <x:c r="C18" s="86" t="str">
        <x:v>前后对比</x:v>
      </x:c>
      <x:c r="D18" s="86" t="str">
        <x:v>否</x:v>
      </x:c>
      <x:c r="E18" s="86" t="str">
        <x:v>枚举</x:v>
      </x:c>
      <x:c r="F18" s="86" t="str">
        <x:v>用户</x:v>
      </x:c>
      <x:c r="G18" s="155" t="str">
        <x:v>是；否；未知</x:v>
      </x:c>
      <x:c r="H18" s="155" t="str">
        <x:v>否</x:v>
      </x:c>
      <x:c r="I18" s="155" t="str">
        <x:v>V1 人工可补充</x:v>
      </x:c>
      <x:c r="J18" s="155" t="str">
        <x:v>分组</x:v>
      </x:c>
    </x:row>
    <x:row r="19" ht="28" customHeight="1">
      <x:c r="A19" s="161" t="str">
        <x:v>曝光</x:v>
      </x:c>
      <x:c r="B19" s="86" t="str">
        <x:v>views</x:v>
      </x:c>
      <x:c r="C19" s="86" t="str">
        <x:v>播放量</x:v>
      </x:c>
      <x:c r="D19" s="86" t="str">
        <x:v>是</x:v>
      </x:c>
      <x:c r="E19" s="86" t="str">
        <x:v>整数</x:v>
      </x:c>
      <x:c r="F19" s="86" t="str">
        <x:v>用户</x:v>
      </x:c>
      <x:c r="G19" s="155" t="str">
        <x:v>必须 &gt; 0</x:v>
      </x:c>
      <x:c r="H19" s="155" t="str">
        <x:v>18200</x:v>
      </x:c>
      <x:c r="I19" s="155" t="str">
        <x:v>所有比率分母</x:v>
      </x:c>
      <x:c r="J19" s="155" t="str">
        <x:v>统计</x:v>
      </x:c>
    </x:row>
    <x:row r="20" ht="28" customHeight="1">
      <x:c r="A20" s="161" t="str">
        <x:v>互动</x:v>
      </x:c>
      <x:c r="B20" s="86" t="str">
        <x:v>likes</x:v>
      </x:c>
      <x:c r="C20" s="86" t="str">
        <x:v>点赞数</x:v>
      </x:c>
      <x:c r="D20" s="86" t="str">
        <x:v>否</x:v>
      </x:c>
      <x:c r="E20" s="86" t="str">
        <x:v>整数</x:v>
      </x:c>
      <x:c r="F20" s="86" t="str">
        <x:v>用户</x:v>
      </x:c>
      <x:c r="G20" s="155" t="str">
        <x:v>≥ 0</x:v>
      </x:c>
      <x:c r="H20" s="155" t="str">
        <x:v>950</x:v>
      </x:c>
      <x:c r="I20" s="155" t="str">
        <x:v>互动率分子</x:v>
      </x:c>
      <x:c r="J20" s="155" t="str">
        <x:v>统计</x:v>
      </x:c>
    </x:row>
    <x:row r="21" ht="28" customHeight="1">
      <x:c r="A21" s="161" t="str">
        <x:v>互动</x:v>
      </x:c>
      <x:c r="B21" s="86" t="str">
        <x:v>comments</x:v>
      </x:c>
      <x:c r="C21" s="86" t="str">
        <x:v>评论数</x:v>
      </x:c>
      <x:c r="D21" s="86" t="str">
        <x:v>否</x:v>
      </x:c>
      <x:c r="E21" s="86" t="str">
        <x:v>整数</x:v>
      </x:c>
      <x:c r="F21" s="86" t="str">
        <x:v>用户</x:v>
      </x:c>
      <x:c r="G21" s="155" t="str">
        <x:v>≥ 0</x:v>
      </x:c>
      <x:c r="H21" s="155" t="str">
        <x:v>84</x:v>
      </x:c>
      <x:c r="I21" s="155" t="str">
        <x:v>互动率分子</x:v>
      </x:c>
      <x:c r="J21" s="155" t="str">
        <x:v>统计</x:v>
      </x:c>
    </x:row>
    <x:row r="22" ht="28" customHeight="1">
      <x:c r="A22" s="161" t="str">
        <x:v>互动</x:v>
      </x:c>
      <x:c r="B22" s="86" t="str">
        <x:v>favorites</x:v>
      </x:c>
      <x:c r="C22" s="86" t="str">
        <x:v>收藏数</x:v>
      </x:c>
      <x:c r="D22" s="86" t="str">
        <x:v>否</x:v>
      </x:c>
      <x:c r="E22" s="86" t="str">
        <x:v>整数</x:v>
      </x:c>
      <x:c r="F22" s="86" t="str">
        <x:v>用户</x:v>
      </x:c>
      <x:c r="G22" s="155" t="str">
        <x:v>≥ 0</x:v>
      </x:c>
      <x:c r="H22" s="155" t="str">
        <x:v>530</x:v>
      </x:c>
      <x:c r="I22" s="155" t="str">
        <x:v>互动率分子</x:v>
      </x:c>
      <x:c r="J22" s="155" t="str">
        <x:v>统计</x:v>
      </x:c>
    </x:row>
    <x:row r="23" ht="28" customHeight="1">
      <x:c r="A23" s="161" t="str">
        <x:v>互动</x:v>
      </x:c>
      <x:c r="B23" s="86" t="str">
        <x:v>shares</x:v>
      </x:c>
      <x:c r="C23" s="86" t="str">
        <x:v>分享数</x:v>
      </x:c>
      <x:c r="D23" s="86" t="str">
        <x:v>否</x:v>
      </x:c>
      <x:c r="E23" s="86" t="str">
        <x:v>整数</x:v>
      </x:c>
      <x:c r="F23" s="86" t="str">
        <x:v>用户</x:v>
      </x:c>
      <x:c r="G23" s="155" t="str">
        <x:v>≥ 0</x:v>
      </x:c>
      <x:c r="H23" s="155" t="str">
        <x:v>160</x:v>
      </x:c>
      <x:c r="I23" s="155" t="str">
        <x:v>互动率分子</x:v>
      </x:c>
      <x:c r="J23" s="155" t="str">
        <x:v>统计</x:v>
      </x:c>
    </x:row>
    <x:row r="24" ht="28" customHeight="1">
      <x:c r="A24" s="161" t="str">
        <x:v>留存</x:v>
      </x:c>
      <x:c r="B24" s="86" t="str">
        <x:v>completion_rate</x:v>
      </x:c>
      <x:c r="C24" s="86" t="str">
        <x:v>完播率</x:v>
      </x:c>
      <x:c r="D24" s="86" t="str">
        <x:v>推荐</x:v>
      </x:c>
      <x:c r="E24" s="86" t="str">
        <x:v>百分比</x:v>
      </x:c>
      <x:c r="F24" s="86" t="str">
        <x:v>用户</x:v>
      </x:c>
      <x:c r="G24" s="155" t="str">
        <x:v>0—100%；Excel 输入 43%</x:v>
      </x:c>
      <x:c r="H24" s="155" t="str">
        <x:v>43%</x:v>
      </x:c>
      <x:c r="I24" s="155" t="str">
        <x:v>主要质量指标</x:v>
      </x:c>
      <x:c r="J24" s="155" t="str">
        <x:v>统计/洞察</x:v>
      </x:c>
    </x:row>
    <x:row r="25" ht="28" customHeight="1">
      <x:c r="A25" s="161" t="str">
        <x:v>留存</x:v>
      </x:c>
      <x:c r="B25" s="86" t="str">
        <x:v>avg_watch_time_seconds</x:v>
      </x:c>
      <x:c r="C25" s="86" t="str">
        <x:v>平均播放时长（秒）</x:v>
      </x:c>
      <x:c r="D25" s="86" t="str">
        <x:v>推荐</x:v>
      </x:c>
      <x:c r="E25" s="86" t="str">
        <x:v>小数</x:v>
      </x:c>
      <x:c r="F25" s="86" t="str">
        <x:v>用户</x:v>
      </x:c>
      <x:c r="G25" s="155" t="str">
        <x:v>≥ 0；建议不超过时长</x:v>
      </x:c>
      <x:c r="H25" s="155" t="str">
        <x:v>8.8</x:v>
      </x:c>
      <x:c r="I25" s="155" t="str">
        <x:v>留存辅助指标</x:v>
      </x:c>
      <x:c r="J25" s="155" t="str">
        <x:v>统计</x:v>
      </x:c>
    </x:row>
    <x:row r="26" ht="28" customHeight="1">
      <x:c r="A26" s="161" t="str">
        <x:v>留存</x:v>
      </x:c>
      <x:c r="B26" s="86" t="str">
        <x:v>five_sec_retention</x:v>
      </x:c>
      <x:c r="C26" s="86" t="str">
        <x:v>5 秒留存率</x:v>
      </x:c>
      <x:c r="D26" s="86" t="str">
        <x:v>推荐</x:v>
      </x:c>
      <x:c r="E26" s="86" t="str">
        <x:v>百分比</x:v>
      </x:c>
      <x:c r="F26" s="86" t="str">
        <x:v>用户</x:v>
      </x:c>
      <x:c r="G26" s="155" t="str">
        <x:v>0—100%</x:v>
      </x:c>
      <x:c r="H26" s="155" t="str">
        <x:v>78%</x:v>
      </x:c>
      <x:c r="I26" s="155" t="str">
        <x:v>评估 Hook</x:v>
      </x:c>
      <x:c r="J26" s="155" t="str">
        <x:v>统计/实验</x:v>
      </x:c>
    </x:row>
    <x:row r="27" ht="28" customHeight="1">
      <x:c r="A27" s="161" t="str">
        <x:v>交易</x:v>
      </x:c>
      <x:c r="B27" s="86" t="str">
        <x:v>product_clicks</x:v>
      </x:c>
      <x:c r="C27" s="86" t="str">
        <x:v>商品点击次数</x:v>
      </x:c>
      <x:c r="D27" s="86" t="str">
        <x:v>否</x:v>
      </x:c>
      <x:c r="E27" s="86" t="str">
        <x:v>整数</x:v>
      </x:c>
      <x:c r="F27" s="86" t="str">
        <x:v>用户</x:v>
      </x:c>
      <x:c r="G27" s="155" t="str">
        <x:v>0—views</x:v>
      </x:c>
      <x:c r="H27" s="155" t="str">
        <x:v>1183</x:v>
      </x:c>
      <x:c r="I27" s="155" t="str">
        <x:v>计算商品点击率</x:v>
      </x:c>
      <x:c r="J27" s="155" t="str">
        <x:v>统计</x:v>
      </x:c>
    </x:row>
    <x:row r="28" ht="28" customHeight="1">
      <x:c r="A28" s="161" t="str">
        <x:v>交易</x:v>
      </x:c>
      <x:c r="B28" s="86" t="str">
        <x:v>orders</x:v>
      </x:c>
      <x:c r="C28" s="86" t="str">
        <x:v>成交次数</x:v>
      </x:c>
      <x:c r="D28" s="86" t="str">
        <x:v>否</x:v>
      </x:c>
      <x:c r="E28" s="86" t="str">
        <x:v>整数</x:v>
      </x:c>
      <x:c r="F28" s="86" t="str">
        <x:v>用户</x:v>
      </x:c>
      <x:c r="G28" s="155" t="str">
        <x:v>0—product_clicks</x:v>
      </x:c>
      <x:c r="H28" s="155" t="str">
        <x:v>97</x:v>
      </x:c>
      <x:c r="I28" s="155" t="str">
        <x:v>计算转化率</x:v>
      </x:c>
      <x:c r="J28" s="155" t="str">
        <x:v>统计</x:v>
      </x:c>
    </x:row>
    <x:row r="29" ht="28" customHeight="1">
      <x:c r="A29" s="161" t="str">
        <x:v>补充</x:v>
      </x:c>
      <x:c r="B29" s="86" t="str">
        <x:v>notes</x:v>
      </x:c>
      <x:c r="C29" s="86" t="str">
        <x:v>备注</x:v>
      </x:c>
      <x:c r="D29" s="86" t="str">
        <x:v>否</x:v>
      </x:c>
      <x:c r="E29" s="86" t="str">
        <x:v>文本</x:v>
      </x:c>
      <x:c r="F29" s="86" t="str">
        <x:v>用户</x:v>
      </x:c>
      <x:c r="G29" s="155" t="str">
        <x:v>可为空</x:v>
      </x:c>
      <x:c r="H29" s="155" t="str">
        <x:v>效果前置</x:v>
      </x:c>
      <x:c r="I29" s="155" t="str">
        <x:v>记录异常或背景</x:v>
      </x:c>
      <x:c r="J29" s="155" t="str">
        <x:v>人工复核</x:v>
      </x:c>
    </x:row>
    <x:row r="30" ht="28" customHeight="1">
      <x:c r="A30" s="161" t="str">
        <x:v>补充</x:v>
      </x:c>
      <x:c r="B30" s="86" t="str">
        <x:v>source_url</x:v>
      </x:c>
      <x:c r="C30" s="86" t="str">
        <x:v>视频链接</x:v>
      </x:c>
      <x:c r="D30" s="86" t="str">
        <x:v>否</x:v>
      </x:c>
      <x:c r="E30" s="86" t="str">
        <x:v>URL</x:v>
      </x:c>
      <x:c r="F30" s="86" t="str">
        <x:v>用户</x:v>
      </x:c>
      <x:c r="G30" s="155" t="str">
        <x:v>可为空；仅用于回看</x:v>
      </x:c>
      <x:c r="H30" s="155" t="str">
        <x:v>https://...</x:v>
      </x:c>
      <x:c r="I30" s="155" t="str">
        <x:v>V1 不抓取链接内容</x:v>
      </x:c>
      <x:c r="J30" s="155" t="str">
        <x:v>回看</x:v>
      </x:c>
    </x:row>
    <x:row r="31" ht="28" customHeight="1">
      <x:c r="A31" s="161" t="str">
        <x:v>派生</x:v>
      </x:c>
      <x:c r="B31" s="86" t="str">
        <x:v>engagement_rate</x:v>
      </x:c>
      <x:c r="C31" s="86" t="str">
        <x:v>互动率</x:v>
      </x:c>
      <x:c r="D31" s="86" t="str">
        <x:v>系统</x:v>
      </x:c>
      <x:c r="E31" s="86" t="str">
        <x:v>百分比</x:v>
      </x:c>
      <x:c r="F31" s="86" t="str">
        <x:v>公式</x:v>
      </x:c>
      <x:c r="G31" s="155" t="str">
        <x:v>(赞+评+藏+转)/播放</x:v>
      </x:c>
      <x:c r="H31" s="155" t="str">
        <x:v>9.5%</x:v>
      </x:c>
      <x:c r="I31" s="155" t="str">
        <x:v>衡量互动质量</x:v>
      </x:c>
      <x:c r="J31" s="155" t="str">
        <x:v>概览/洞察</x:v>
      </x:c>
    </x:row>
    <x:row r="32" ht="28" customHeight="1">
      <x:c r="A32" s="161" t="str">
        <x:v>派生</x:v>
      </x:c>
      <x:c r="B32" s="86" t="str">
        <x:v>product_click_rate</x:v>
      </x:c>
      <x:c r="C32" s="86" t="str">
        <x:v>商品点击率</x:v>
      </x:c>
      <x:c r="D32" s="86" t="str">
        <x:v>系统</x:v>
      </x:c>
      <x:c r="E32" s="86" t="str">
        <x:v>百分比</x:v>
      </x:c>
      <x:c r="F32" s="86" t="str">
        <x:v>公式</x:v>
      </x:c>
      <x:c r="G32" s="155" t="str">
        <x:v>商品点击/播放</x:v>
      </x:c>
      <x:c r="H32" s="155" t="str">
        <x:v>6.5%</x:v>
      </x:c>
      <x:c r="I32" s="155" t="str">
        <x:v>内容到商品兴趣</x:v>
      </x:c>
      <x:c r="J32" s="155" t="str">
        <x:v>洞察</x:v>
      </x:c>
    </x:row>
    <x:row r="33" ht="28" customHeight="1">
      <x:c r="A33" s="161" t="str">
        <x:v>派生</x:v>
      </x:c>
      <x:c r="B33" s="86" t="str">
        <x:v>conversion_rate</x:v>
      </x:c>
      <x:c r="C33" s="86" t="str">
        <x:v>转化率</x:v>
      </x:c>
      <x:c r="D33" s="86" t="str">
        <x:v>系统</x:v>
      </x:c>
      <x:c r="E33" s="86" t="str">
        <x:v>百分比</x:v>
      </x:c>
      <x:c r="F33" s="86" t="str">
        <x:v>公式</x:v>
      </x:c>
      <x:c r="G33" s="155" t="str">
        <x:v>成交/商品点击</x:v>
      </x:c>
      <x:c r="H33" s="155" t="str">
        <x:v>8.2%</x:v>
      </x:c>
      <x:c r="I33" s="155" t="str">
        <x:v>业务结果</x:v>
      </x:c>
      <x:c r="J33" s="155" t="str">
        <x:v>洞察</x:v>
      </x:c>
    </x:row>
    <x:row r="34" ht="28" customHeight="1">
      <x:c r="A34" s="161" t="str">
        <x:v>派生</x:v>
      </x:c>
      <x:c r="B34" s="86" t="str">
        <x:v>duration_band</x:v>
      </x:c>
      <x:c r="C34" s="86" t="str">
        <x:v>时长区间</x:v>
      </x:c>
      <x:c r="D34" s="86" t="str">
        <x:v>系统</x:v>
      </x:c>
      <x:c r="E34" s="86" t="str">
        <x:v>枚举</x:v>
      </x:c>
      <x:c r="F34" s="86" t="str">
        <x:v>公式</x:v>
      </x:c>
      <x:c r="G34" s="155" t="str">
        <x:v>≤10；11—20；21—30；&gt;30</x:v>
      </x:c>
      <x:c r="H34" s="155" t="str">
        <x:v>11—20秒</x:v>
      </x:c>
      <x:c r="I34" s="155" t="str">
        <x:v>分组对比</x:v>
      </x:c>
      <x:c r="J34" s="155" t="str">
        <x:v>统计</x:v>
      </x:c>
    </x:row>
    <x:row r="35" ht="28" customHeight="1">
      <x:c r="A35" s="161" t="str">
        <x:v>派生</x:v>
      </x:c>
      <x:c r="B35" s="86" t="str">
        <x:v>data_quality_score</x:v>
      </x:c>
      <x:c r="C35" s="86" t="str">
        <x:v>数据质量分</x:v>
      </x:c>
      <x:c r="D35" s="86" t="str">
        <x:v>系统</x:v>
      </x:c>
      <x:c r="E35" s="86" t="str">
        <x:v>百分比</x:v>
      </x:c>
      <x:c r="F35" s="86" t="str">
        <x:v>公式</x:v>
      </x:c>
      <x:c r="G35" s="155" t="str">
        <x:v>5 个门槛通过数/5</x:v>
      </x:c>
      <x:c r="H35" s="155" t="str">
        <x:v>100%</x:v>
      </x:c>
      <x:c r="I35" s="155" t="str">
        <x:v>判断可分析程度</x:v>
      </x:c>
      <x:c r="J35" s="155" t="str">
        <x:v>校验</x:v>
      </x:c>
    </x:row>
    <x:row r="36" ht="28" customHeight="1">
      <x:c r="A36" s="162" t="str">
        <x:v>派生</x:v>
      </x:c>
      <x:c r="B36" s="87" t="str">
        <x:v>record_status</x:v>
      </x:c>
      <x:c r="C36" s="87" t="str">
        <x:v>记录状态</x:v>
      </x:c>
      <x:c r="D36" s="87" t="str">
        <x:v>系统</x:v>
      </x:c>
      <x:c r="E36" s="87" t="str">
        <x:v>枚举</x:v>
      </x:c>
      <x:c r="F36" s="87" t="str">
        <x:v>公式</x:v>
      </x:c>
      <x:c r="G36" s="156" t="str">
        <x:v>质量分=100%为可分析</x:v>
      </x:c>
      <x:c r="H36" s="156" t="str">
        <x:v>可分析</x:v>
      </x:c>
      <x:c r="I36" s="156" t="str">
        <x:v>阻断/警告</x:v>
      </x:c>
      <x:c r="J36" s="156" t="str">
        <x:v>校验</x:v>
      </x:c>
    </x:row>
  </x:sheetData>
  <x:mergeCells>
    <x:mergeCell ref="A1:J2"/>
    <x:mergeCell ref="A3:J3"/>
  </x:mergeCells>
  <x:conditionalFormatting sqref="D5:D36">
    <x:cfRule type="containsText" dxfId="4" priority="1" operator="containsText" text="是"/>
    <x:cfRule type="containsText" dxfId="5" priority="2" operator="containsText" text="系统"/>
  </x:conditionalFormatting>
  <x:pageMargins left="0.7" right="0.7" top="0.75" bottom="0.75" header="0.3" footer="0.3"/>
  <x:tableParts count="1">
    <x:tablePart xmlns:r="http://schemas.openxmlformats.org/officeDocument/2006/relationships" r:id="Rd4e047736b154622"/>
  </x:tableParts>
</x:worksheet>
</file>